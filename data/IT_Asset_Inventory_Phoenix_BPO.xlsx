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Inventory Phoenix BPO\"/>
    </mc:Choice>
  </mc:AlternateContent>
  <xr:revisionPtr revIDLastSave="0" documentId="13_ncr:1_{6ED65BF1-5A48-4E74-BCE2-CA05D30DD9D0}" xr6:coauthVersionLast="47" xr6:coauthVersionMax="47" xr10:uidLastSave="{00000000-0000-0000-0000-000000000000}"/>
  <bookViews>
    <workbookView xWindow="-108" yWindow="-108" windowWidth="23256" windowHeight="12576" tabRatio="500" firstSheet="1" activeTab="3" xr2:uid="{00000000-000D-0000-FFFF-FFFF00000000}"/>
  </bookViews>
  <sheets>
    <sheet name="README" sheetId="1" r:id="rId1"/>
    <sheet name="Dashboard" sheetId="2" r:id="rId2"/>
    <sheet name="Asset Register" sheetId="3" r:id="rId3"/>
    <sheet name="Change Log" sheetId="4" r:id="rId4"/>
    <sheet name="Fault Log" sheetId="5" r:id="rId5"/>
    <sheet name="Consumables" sheetId="6" r:id="rId6"/>
    <sheet name="Lists" sheetId="7" r:id="rId7"/>
  </sheets>
  <definedNames>
    <definedName name="_xlnm._FilterDatabase" localSheetId="2" hidden="1">'Asset Register'!$A$1:$P$500</definedName>
    <definedName name="_xlnm._FilterDatabase" localSheetId="3" hidden="1">'Change Log'!$A$1:$H$500</definedName>
    <definedName name="_xlnm._FilterDatabase" localSheetId="5" hidden="1">Consumables!$A$1:$H$500</definedName>
    <definedName name="_xlnm._FilterDatabase" localSheetId="4" hidden="1">'Fault Log'!$A$1:$J$500</definedName>
    <definedName name="lst_AssetTags">OFFSET('Asset Register'!$A$2,0,0,MAX(1,COUNTA('Asset Register'!$A:$A)-1),1)</definedName>
    <definedName name="lst_Category">OFFSET(Lists!$A$2,0,0,MAX(1,COUNTA(Lists!$A:$A)-1),1)</definedName>
    <definedName name="lst_ChangeType">OFFSET(Lists!$H$2,0,0,MAX(1,COUNTA(Lists!$H:$H)-1),1)</definedName>
    <definedName name="lst_Condition">OFFSET(Lists!$F$2,0,0,MAX(1,COUNTA(Lists!$F:$F)-1),1)</definedName>
    <definedName name="lst_Department">OFFSET(Lists!$G$2,0,0,MAX(1,COUNTA(Lists!$G:$G)-1),1)</definedName>
    <definedName name="lst_FaultStatus">OFFSET(Lists!$I$2,0,0,MAX(1,COUNTA(Lists!$I:$I)-1),1)</definedName>
    <definedName name="lst_Status">OFFSET(Lists!$E$2,0,0,MAX(1,COUNTA(Lists!$E:$E)-1),1)</definedName>
    <definedName name="_xlnm.Print_Titles" localSheetId="2">'Asset Register'!$1:$1</definedName>
    <definedName name="_xlnm.Print_Titles" localSheetId="3">'Change Log'!$1:$1</definedName>
    <definedName name="_xlnm.Print_Titles" localSheetId="5">Consumables!$1:$1</definedName>
    <definedName name="_xlnm.Print_Titles" localSheetId="4">'Fault Log'!$1:$1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0" i="7" l="1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G500" i="6"/>
  <c r="E500" i="6"/>
  <c r="G499" i="6"/>
  <c r="E499" i="6"/>
  <c r="G498" i="6"/>
  <c r="E498" i="6"/>
  <c r="G497" i="6"/>
  <c r="E497" i="6"/>
  <c r="G496" i="6"/>
  <c r="E496" i="6"/>
  <c r="G495" i="6"/>
  <c r="E495" i="6"/>
  <c r="G494" i="6"/>
  <c r="E494" i="6"/>
  <c r="G493" i="6"/>
  <c r="E493" i="6"/>
  <c r="G492" i="6"/>
  <c r="E492" i="6"/>
  <c r="G491" i="6"/>
  <c r="E491" i="6"/>
  <c r="G490" i="6"/>
  <c r="E490" i="6"/>
  <c r="G489" i="6"/>
  <c r="E489" i="6"/>
  <c r="G488" i="6"/>
  <c r="E488" i="6"/>
  <c r="G487" i="6"/>
  <c r="E487" i="6"/>
  <c r="G486" i="6"/>
  <c r="E486" i="6"/>
  <c r="G485" i="6"/>
  <c r="E485" i="6"/>
  <c r="G484" i="6"/>
  <c r="E484" i="6"/>
  <c r="G483" i="6"/>
  <c r="E483" i="6"/>
  <c r="G482" i="6"/>
  <c r="E482" i="6"/>
  <c r="G481" i="6"/>
  <c r="E481" i="6"/>
  <c r="G480" i="6"/>
  <c r="E480" i="6"/>
  <c r="G479" i="6"/>
  <c r="E479" i="6"/>
  <c r="G478" i="6"/>
  <c r="E478" i="6"/>
  <c r="G477" i="6"/>
  <c r="E477" i="6"/>
  <c r="G476" i="6"/>
  <c r="E476" i="6"/>
  <c r="G475" i="6"/>
  <c r="E475" i="6"/>
  <c r="G474" i="6"/>
  <c r="E474" i="6"/>
  <c r="G473" i="6"/>
  <c r="E473" i="6"/>
  <c r="G472" i="6"/>
  <c r="E472" i="6"/>
  <c r="G471" i="6"/>
  <c r="E471" i="6"/>
  <c r="G470" i="6"/>
  <c r="E470" i="6"/>
  <c r="G469" i="6"/>
  <c r="E469" i="6"/>
  <c r="G468" i="6"/>
  <c r="E468" i="6"/>
  <c r="G467" i="6"/>
  <c r="E467" i="6"/>
  <c r="G466" i="6"/>
  <c r="E466" i="6"/>
  <c r="G465" i="6"/>
  <c r="E465" i="6"/>
  <c r="G464" i="6"/>
  <c r="E464" i="6"/>
  <c r="G463" i="6"/>
  <c r="E463" i="6"/>
  <c r="G462" i="6"/>
  <c r="E462" i="6"/>
  <c r="G461" i="6"/>
  <c r="E461" i="6"/>
  <c r="G460" i="6"/>
  <c r="E460" i="6"/>
  <c r="G459" i="6"/>
  <c r="E459" i="6"/>
  <c r="G458" i="6"/>
  <c r="E458" i="6"/>
  <c r="G457" i="6"/>
  <c r="E457" i="6"/>
  <c r="G456" i="6"/>
  <c r="E456" i="6"/>
  <c r="G455" i="6"/>
  <c r="E455" i="6"/>
  <c r="G454" i="6"/>
  <c r="E454" i="6"/>
  <c r="G453" i="6"/>
  <c r="E453" i="6"/>
  <c r="G452" i="6"/>
  <c r="E452" i="6"/>
  <c r="G451" i="6"/>
  <c r="E451" i="6"/>
  <c r="G450" i="6"/>
  <c r="E450" i="6"/>
  <c r="G449" i="6"/>
  <c r="E449" i="6"/>
  <c r="G448" i="6"/>
  <c r="E448" i="6"/>
  <c r="G447" i="6"/>
  <c r="E447" i="6"/>
  <c r="G446" i="6"/>
  <c r="E446" i="6"/>
  <c r="G445" i="6"/>
  <c r="E445" i="6"/>
  <c r="G444" i="6"/>
  <c r="E444" i="6"/>
  <c r="G443" i="6"/>
  <c r="E443" i="6"/>
  <c r="G442" i="6"/>
  <c r="E442" i="6"/>
  <c r="G441" i="6"/>
  <c r="E441" i="6"/>
  <c r="G440" i="6"/>
  <c r="E440" i="6"/>
  <c r="G439" i="6"/>
  <c r="E439" i="6"/>
  <c r="G438" i="6"/>
  <c r="E438" i="6"/>
  <c r="G437" i="6"/>
  <c r="E437" i="6"/>
  <c r="G436" i="6"/>
  <c r="E436" i="6"/>
  <c r="G435" i="6"/>
  <c r="E435" i="6"/>
  <c r="G434" i="6"/>
  <c r="E434" i="6"/>
  <c r="G433" i="6"/>
  <c r="E433" i="6"/>
  <c r="G432" i="6"/>
  <c r="E432" i="6"/>
  <c r="G431" i="6"/>
  <c r="E431" i="6"/>
  <c r="G430" i="6"/>
  <c r="E430" i="6"/>
  <c r="G429" i="6"/>
  <c r="E429" i="6"/>
  <c r="G428" i="6"/>
  <c r="E428" i="6"/>
  <c r="G427" i="6"/>
  <c r="E427" i="6"/>
  <c r="G426" i="6"/>
  <c r="E426" i="6"/>
  <c r="G425" i="6"/>
  <c r="E425" i="6"/>
  <c r="G424" i="6"/>
  <c r="E424" i="6"/>
  <c r="G423" i="6"/>
  <c r="E423" i="6"/>
  <c r="G422" i="6"/>
  <c r="E422" i="6"/>
  <c r="G421" i="6"/>
  <c r="E421" i="6"/>
  <c r="G420" i="6"/>
  <c r="E420" i="6"/>
  <c r="G419" i="6"/>
  <c r="E419" i="6"/>
  <c r="G418" i="6"/>
  <c r="E418" i="6"/>
  <c r="G417" i="6"/>
  <c r="E417" i="6"/>
  <c r="G416" i="6"/>
  <c r="E416" i="6"/>
  <c r="G415" i="6"/>
  <c r="E415" i="6"/>
  <c r="G414" i="6"/>
  <c r="E414" i="6"/>
  <c r="G413" i="6"/>
  <c r="E413" i="6"/>
  <c r="G412" i="6"/>
  <c r="E412" i="6"/>
  <c r="G411" i="6"/>
  <c r="E411" i="6"/>
  <c r="G410" i="6"/>
  <c r="E410" i="6"/>
  <c r="G409" i="6"/>
  <c r="E409" i="6"/>
  <c r="G408" i="6"/>
  <c r="E408" i="6"/>
  <c r="G407" i="6"/>
  <c r="E407" i="6"/>
  <c r="G406" i="6"/>
  <c r="E406" i="6"/>
  <c r="G405" i="6"/>
  <c r="E405" i="6"/>
  <c r="G404" i="6"/>
  <c r="E404" i="6"/>
  <c r="G403" i="6"/>
  <c r="E403" i="6"/>
  <c r="G402" i="6"/>
  <c r="E402" i="6"/>
  <c r="G401" i="6"/>
  <c r="E401" i="6"/>
  <c r="G400" i="6"/>
  <c r="E400" i="6"/>
  <c r="G399" i="6"/>
  <c r="E399" i="6"/>
  <c r="G398" i="6"/>
  <c r="E398" i="6"/>
  <c r="G397" i="6"/>
  <c r="E397" i="6"/>
  <c r="G396" i="6"/>
  <c r="E396" i="6"/>
  <c r="G395" i="6"/>
  <c r="E395" i="6"/>
  <c r="G394" i="6"/>
  <c r="E394" i="6"/>
  <c r="G393" i="6"/>
  <c r="E393" i="6"/>
  <c r="G392" i="6"/>
  <c r="E392" i="6"/>
  <c r="G391" i="6"/>
  <c r="E391" i="6"/>
  <c r="G390" i="6"/>
  <c r="E390" i="6"/>
  <c r="G389" i="6"/>
  <c r="E389" i="6"/>
  <c r="G388" i="6"/>
  <c r="E388" i="6"/>
  <c r="G387" i="6"/>
  <c r="E387" i="6"/>
  <c r="G386" i="6"/>
  <c r="E386" i="6"/>
  <c r="G385" i="6"/>
  <c r="E385" i="6"/>
  <c r="G384" i="6"/>
  <c r="E384" i="6"/>
  <c r="G383" i="6"/>
  <c r="E383" i="6"/>
  <c r="G382" i="6"/>
  <c r="E382" i="6"/>
  <c r="G381" i="6"/>
  <c r="E381" i="6"/>
  <c r="G380" i="6"/>
  <c r="E380" i="6"/>
  <c r="G379" i="6"/>
  <c r="E379" i="6"/>
  <c r="G378" i="6"/>
  <c r="E378" i="6"/>
  <c r="G377" i="6"/>
  <c r="E377" i="6"/>
  <c r="G376" i="6"/>
  <c r="E376" i="6"/>
  <c r="G375" i="6"/>
  <c r="E375" i="6"/>
  <c r="G374" i="6"/>
  <c r="E374" i="6"/>
  <c r="G373" i="6"/>
  <c r="E373" i="6"/>
  <c r="G372" i="6"/>
  <c r="E372" i="6"/>
  <c r="G371" i="6"/>
  <c r="E371" i="6"/>
  <c r="G370" i="6"/>
  <c r="E370" i="6"/>
  <c r="G369" i="6"/>
  <c r="E369" i="6"/>
  <c r="G368" i="6"/>
  <c r="E368" i="6"/>
  <c r="G367" i="6"/>
  <c r="E367" i="6"/>
  <c r="G366" i="6"/>
  <c r="E366" i="6"/>
  <c r="G365" i="6"/>
  <c r="E365" i="6"/>
  <c r="G364" i="6"/>
  <c r="E364" i="6"/>
  <c r="G363" i="6"/>
  <c r="E363" i="6"/>
  <c r="G362" i="6"/>
  <c r="E362" i="6"/>
  <c r="G361" i="6"/>
  <c r="E361" i="6"/>
  <c r="G360" i="6"/>
  <c r="E360" i="6"/>
  <c r="G359" i="6"/>
  <c r="E359" i="6"/>
  <c r="G358" i="6"/>
  <c r="E358" i="6"/>
  <c r="G357" i="6"/>
  <c r="E357" i="6"/>
  <c r="G356" i="6"/>
  <c r="E356" i="6"/>
  <c r="G355" i="6"/>
  <c r="E355" i="6"/>
  <c r="G354" i="6"/>
  <c r="E354" i="6"/>
  <c r="G353" i="6"/>
  <c r="E353" i="6"/>
  <c r="G352" i="6"/>
  <c r="E352" i="6"/>
  <c r="G351" i="6"/>
  <c r="E351" i="6"/>
  <c r="G350" i="6"/>
  <c r="E350" i="6"/>
  <c r="G349" i="6"/>
  <c r="E349" i="6"/>
  <c r="G348" i="6"/>
  <c r="E348" i="6"/>
  <c r="G347" i="6"/>
  <c r="E347" i="6"/>
  <c r="G346" i="6"/>
  <c r="E346" i="6"/>
  <c r="G345" i="6"/>
  <c r="E345" i="6"/>
  <c r="G344" i="6"/>
  <c r="E344" i="6"/>
  <c r="G343" i="6"/>
  <c r="E343" i="6"/>
  <c r="G342" i="6"/>
  <c r="E342" i="6"/>
  <c r="G341" i="6"/>
  <c r="E341" i="6"/>
  <c r="G340" i="6"/>
  <c r="E340" i="6"/>
  <c r="G339" i="6"/>
  <c r="E339" i="6"/>
  <c r="G338" i="6"/>
  <c r="E338" i="6"/>
  <c r="G337" i="6"/>
  <c r="E337" i="6"/>
  <c r="G336" i="6"/>
  <c r="E336" i="6"/>
  <c r="G335" i="6"/>
  <c r="E335" i="6"/>
  <c r="G334" i="6"/>
  <c r="E334" i="6"/>
  <c r="G333" i="6"/>
  <c r="E333" i="6"/>
  <c r="G332" i="6"/>
  <c r="E332" i="6"/>
  <c r="G331" i="6"/>
  <c r="E331" i="6"/>
  <c r="G330" i="6"/>
  <c r="E330" i="6"/>
  <c r="G329" i="6"/>
  <c r="E329" i="6"/>
  <c r="G328" i="6"/>
  <c r="E328" i="6"/>
  <c r="G327" i="6"/>
  <c r="E327" i="6"/>
  <c r="G326" i="6"/>
  <c r="E326" i="6"/>
  <c r="G325" i="6"/>
  <c r="E325" i="6"/>
  <c r="G324" i="6"/>
  <c r="E324" i="6"/>
  <c r="G323" i="6"/>
  <c r="E323" i="6"/>
  <c r="G322" i="6"/>
  <c r="E322" i="6"/>
  <c r="G321" i="6"/>
  <c r="E321" i="6"/>
  <c r="G320" i="6"/>
  <c r="E320" i="6"/>
  <c r="G319" i="6"/>
  <c r="E319" i="6"/>
  <c r="G318" i="6"/>
  <c r="E318" i="6"/>
  <c r="G317" i="6"/>
  <c r="E317" i="6"/>
  <c r="G316" i="6"/>
  <c r="E316" i="6"/>
  <c r="G315" i="6"/>
  <c r="E315" i="6"/>
  <c r="G314" i="6"/>
  <c r="E314" i="6"/>
  <c r="G313" i="6"/>
  <c r="E313" i="6"/>
  <c r="G312" i="6"/>
  <c r="E312" i="6"/>
  <c r="G311" i="6"/>
  <c r="E311" i="6"/>
  <c r="G310" i="6"/>
  <c r="E310" i="6"/>
  <c r="G309" i="6"/>
  <c r="E309" i="6"/>
  <c r="G308" i="6"/>
  <c r="E308" i="6"/>
  <c r="G307" i="6"/>
  <c r="E307" i="6"/>
  <c r="G306" i="6"/>
  <c r="E306" i="6"/>
  <c r="G305" i="6"/>
  <c r="E305" i="6"/>
  <c r="G304" i="6"/>
  <c r="E304" i="6"/>
  <c r="G303" i="6"/>
  <c r="E303" i="6"/>
  <c r="G302" i="6"/>
  <c r="E302" i="6"/>
  <c r="G301" i="6"/>
  <c r="E301" i="6"/>
  <c r="G300" i="6"/>
  <c r="E300" i="6"/>
  <c r="G299" i="6"/>
  <c r="E299" i="6"/>
  <c r="G298" i="6"/>
  <c r="E298" i="6"/>
  <c r="G297" i="6"/>
  <c r="E297" i="6"/>
  <c r="G296" i="6"/>
  <c r="E296" i="6"/>
  <c r="G295" i="6"/>
  <c r="E295" i="6"/>
  <c r="G294" i="6"/>
  <c r="E294" i="6"/>
  <c r="G293" i="6"/>
  <c r="E293" i="6"/>
  <c r="G292" i="6"/>
  <c r="E292" i="6"/>
  <c r="G291" i="6"/>
  <c r="E291" i="6"/>
  <c r="G290" i="6"/>
  <c r="E290" i="6"/>
  <c r="G289" i="6"/>
  <c r="E289" i="6"/>
  <c r="G288" i="6"/>
  <c r="E288" i="6"/>
  <c r="G287" i="6"/>
  <c r="E287" i="6"/>
  <c r="G286" i="6"/>
  <c r="E286" i="6"/>
  <c r="G285" i="6"/>
  <c r="E285" i="6"/>
  <c r="G284" i="6"/>
  <c r="E284" i="6"/>
  <c r="G283" i="6"/>
  <c r="E283" i="6"/>
  <c r="G282" i="6"/>
  <c r="E282" i="6"/>
  <c r="G281" i="6"/>
  <c r="E281" i="6"/>
  <c r="G280" i="6"/>
  <c r="E280" i="6"/>
  <c r="G279" i="6"/>
  <c r="E279" i="6"/>
  <c r="G278" i="6"/>
  <c r="E278" i="6"/>
  <c r="G277" i="6"/>
  <c r="E277" i="6"/>
  <c r="G276" i="6"/>
  <c r="E276" i="6"/>
  <c r="G275" i="6"/>
  <c r="E275" i="6"/>
  <c r="G274" i="6"/>
  <c r="E274" i="6"/>
  <c r="G273" i="6"/>
  <c r="E273" i="6"/>
  <c r="G272" i="6"/>
  <c r="E272" i="6"/>
  <c r="G271" i="6"/>
  <c r="E271" i="6"/>
  <c r="G270" i="6"/>
  <c r="E270" i="6"/>
  <c r="G269" i="6"/>
  <c r="E269" i="6"/>
  <c r="G268" i="6"/>
  <c r="E268" i="6"/>
  <c r="G267" i="6"/>
  <c r="E267" i="6"/>
  <c r="G266" i="6"/>
  <c r="E266" i="6"/>
  <c r="G265" i="6"/>
  <c r="E265" i="6"/>
  <c r="G264" i="6"/>
  <c r="E264" i="6"/>
  <c r="G263" i="6"/>
  <c r="E263" i="6"/>
  <c r="G262" i="6"/>
  <c r="E262" i="6"/>
  <c r="G261" i="6"/>
  <c r="E261" i="6"/>
  <c r="G260" i="6"/>
  <c r="E260" i="6"/>
  <c r="G259" i="6"/>
  <c r="E259" i="6"/>
  <c r="G258" i="6"/>
  <c r="E258" i="6"/>
  <c r="G257" i="6"/>
  <c r="E257" i="6"/>
  <c r="G256" i="6"/>
  <c r="E256" i="6"/>
  <c r="G255" i="6"/>
  <c r="E255" i="6"/>
  <c r="G254" i="6"/>
  <c r="E254" i="6"/>
  <c r="G253" i="6"/>
  <c r="E253" i="6"/>
  <c r="G252" i="6"/>
  <c r="E252" i="6"/>
  <c r="G251" i="6"/>
  <c r="E251" i="6"/>
  <c r="G250" i="6"/>
  <c r="E250" i="6"/>
  <c r="G249" i="6"/>
  <c r="E249" i="6"/>
  <c r="G248" i="6"/>
  <c r="E248" i="6"/>
  <c r="G247" i="6"/>
  <c r="E247" i="6"/>
  <c r="G246" i="6"/>
  <c r="E246" i="6"/>
  <c r="G245" i="6"/>
  <c r="E245" i="6"/>
  <c r="G244" i="6"/>
  <c r="E244" i="6"/>
  <c r="G243" i="6"/>
  <c r="E243" i="6"/>
  <c r="G242" i="6"/>
  <c r="E242" i="6"/>
  <c r="G241" i="6"/>
  <c r="E241" i="6"/>
  <c r="G240" i="6"/>
  <c r="E240" i="6"/>
  <c r="G239" i="6"/>
  <c r="E239" i="6"/>
  <c r="G238" i="6"/>
  <c r="E238" i="6"/>
  <c r="G237" i="6"/>
  <c r="E237" i="6"/>
  <c r="G236" i="6"/>
  <c r="E236" i="6"/>
  <c r="G235" i="6"/>
  <c r="E235" i="6"/>
  <c r="G234" i="6"/>
  <c r="E234" i="6"/>
  <c r="G233" i="6"/>
  <c r="E233" i="6"/>
  <c r="G232" i="6"/>
  <c r="E232" i="6"/>
  <c r="G231" i="6"/>
  <c r="E231" i="6"/>
  <c r="G230" i="6"/>
  <c r="E230" i="6"/>
  <c r="G229" i="6"/>
  <c r="E229" i="6"/>
  <c r="G228" i="6"/>
  <c r="E228" i="6"/>
  <c r="G227" i="6"/>
  <c r="E227" i="6"/>
  <c r="G226" i="6"/>
  <c r="E226" i="6"/>
  <c r="G225" i="6"/>
  <c r="E225" i="6"/>
  <c r="G224" i="6"/>
  <c r="E224" i="6"/>
  <c r="G223" i="6"/>
  <c r="E223" i="6"/>
  <c r="G222" i="6"/>
  <c r="E222" i="6"/>
  <c r="G221" i="6"/>
  <c r="E221" i="6"/>
  <c r="G220" i="6"/>
  <c r="E220" i="6"/>
  <c r="G219" i="6"/>
  <c r="E219" i="6"/>
  <c r="G218" i="6"/>
  <c r="E218" i="6"/>
  <c r="G217" i="6"/>
  <c r="E217" i="6"/>
  <c r="G216" i="6"/>
  <c r="E216" i="6"/>
  <c r="G215" i="6"/>
  <c r="E215" i="6"/>
  <c r="G214" i="6"/>
  <c r="E214" i="6"/>
  <c r="G213" i="6"/>
  <c r="E213" i="6"/>
  <c r="G212" i="6"/>
  <c r="E212" i="6"/>
  <c r="G211" i="6"/>
  <c r="E211" i="6"/>
  <c r="G210" i="6"/>
  <c r="E210" i="6"/>
  <c r="G209" i="6"/>
  <c r="E209" i="6"/>
  <c r="G208" i="6"/>
  <c r="E208" i="6"/>
  <c r="G207" i="6"/>
  <c r="E207" i="6"/>
  <c r="G206" i="6"/>
  <c r="E206" i="6"/>
  <c r="G205" i="6"/>
  <c r="E205" i="6"/>
  <c r="G204" i="6"/>
  <c r="E204" i="6"/>
  <c r="G203" i="6"/>
  <c r="E203" i="6"/>
  <c r="G202" i="6"/>
  <c r="E202" i="6"/>
  <c r="G201" i="6"/>
  <c r="E201" i="6"/>
  <c r="G200" i="6"/>
  <c r="E200" i="6"/>
  <c r="G199" i="6"/>
  <c r="E199" i="6"/>
  <c r="G198" i="6"/>
  <c r="E198" i="6"/>
  <c r="G197" i="6"/>
  <c r="E197" i="6"/>
  <c r="G196" i="6"/>
  <c r="E196" i="6"/>
  <c r="G195" i="6"/>
  <c r="E195" i="6"/>
  <c r="G194" i="6"/>
  <c r="E194" i="6"/>
  <c r="G193" i="6"/>
  <c r="E193" i="6"/>
  <c r="G192" i="6"/>
  <c r="E192" i="6"/>
  <c r="G191" i="6"/>
  <c r="E191" i="6"/>
  <c r="G190" i="6"/>
  <c r="E190" i="6"/>
  <c r="G189" i="6"/>
  <c r="E189" i="6"/>
  <c r="G188" i="6"/>
  <c r="E188" i="6"/>
  <c r="G187" i="6"/>
  <c r="E187" i="6"/>
  <c r="G186" i="6"/>
  <c r="E186" i="6"/>
  <c r="G185" i="6"/>
  <c r="E185" i="6"/>
  <c r="G184" i="6"/>
  <c r="E184" i="6"/>
  <c r="G183" i="6"/>
  <c r="E183" i="6"/>
  <c r="G182" i="6"/>
  <c r="E182" i="6"/>
  <c r="G181" i="6"/>
  <c r="E181" i="6"/>
  <c r="G180" i="6"/>
  <c r="E180" i="6"/>
  <c r="G179" i="6"/>
  <c r="E179" i="6"/>
  <c r="G178" i="6"/>
  <c r="E178" i="6"/>
  <c r="G177" i="6"/>
  <c r="E177" i="6"/>
  <c r="G176" i="6"/>
  <c r="E176" i="6"/>
  <c r="G175" i="6"/>
  <c r="E175" i="6"/>
  <c r="G174" i="6"/>
  <c r="E174" i="6"/>
  <c r="G173" i="6"/>
  <c r="E173" i="6"/>
  <c r="G172" i="6"/>
  <c r="E172" i="6"/>
  <c r="G171" i="6"/>
  <c r="E171" i="6"/>
  <c r="G170" i="6"/>
  <c r="E170" i="6"/>
  <c r="G169" i="6"/>
  <c r="E169" i="6"/>
  <c r="G168" i="6"/>
  <c r="E168" i="6"/>
  <c r="G167" i="6"/>
  <c r="E167" i="6"/>
  <c r="G166" i="6"/>
  <c r="E166" i="6"/>
  <c r="G165" i="6"/>
  <c r="E165" i="6"/>
  <c r="G164" i="6"/>
  <c r="E164" i="6"/>
  <c r="G163" i="6"/>
  <c r="E163" i="6"/>
  <c r="G162" i="6"/>
  <c r="E162" i="6"/>
  <c r="G161" i="6"/>
  <c r="E161" i="6"/>
  <c r="G160" i="6"/>
  <c r="E160" i="6"/>
  <c r="G159" i="6"/>
  <c r="E159" i="6"/>
  <c r="G158" i="6"/>
  <c r="E158" i="6"/>
  <c r="G157" i="6"/>
  <c r="E157" i="6"/>
  <c r="G156" i="6"/>
  <c r="E156" i="6"/>
  <c r="G155" i="6"/>
  <c r="E155" i="6"/>
  <c r="G154" i="6"/>
  <c r="E154" i="6"/>
  <c r="G153" i="6"/>
  <c r="E153" i="6"/>
  <c r="G152" i="6"/>
  <c r="E152" i="6"/>
  <c r="G151" i="6"/>
  <c r="E151" i="6"/>
  <c r="G150" i="6"/>
  <c r="E150" i="6"/>
  <c r="G149" i="6"/>
  <c r="E149" i="6"/>
  <c r="G148" i="6"/>
  <c r="E148" i="6"/>
  <c r="G147" i="6"/>
  <c r="E147" i="6"/>
  <c r="G146" i="6"/>
  <c r="E146" i="6"/>
  <c r="G145" i="6"/>
  <c r="E145" i="6"/>
  <c r="G144" i="6"/>
  <c r="E144" i="6"/>
  <c r="G143" i="6"/>
  <c r="E143" i="6"/>
  <c r="G142" i="6"/>
  <c r="E142" i="6"/>
  <c r="G141" i="6"/>
  <c r="E141" i="6"/>
  <c r="G140" i="6"/>
  <c r="E140" i="6"/>
  <c r="G139" i="6"/>
  <c r="E139" i="6"/>
  <c r="G138" i="6"/>
  <c r="E138" i="6"/>
  <c r="G137" i="6"/>
  <c r="E137" i="6"/>
  <c r="G136" i="6"/>
  <c r="E136" i="6"/>
  <c r="G135" i="6"/>
  <c r="E135" i="6"/>
  <c r="G134" i="6"/>
  <c r="E134" i="6"/>
  <c r="G133" i="6"/>
  <c r="E133" i="6"/>
  <c r="G132" i="6"/>
  <c r="E132" i="6"/>
  <c r="G131" i="6"/>
  <c r="E131" i="6"/>
  <c r="G130" i="6"/>
  <c r="E130" i="6"/>
  <c r="G129" i="6"/>
  <c r="E129" i="6"/>
  <c r="G128" i="6"/>
  <c r="E128" i="6"/>
  <c r="G127" i="6"/>
  <c r="E127" i="6"/>
  <c r="G126" i="6"/>
  <c r="E126" i="6"/>
  <c r="G125" i="6"/>
  <c r="E125" i="6"/>
  <c r="G124" i="6"/>
  <c r="E124" i="6"/>
  <c r="G123" i="6"/>
  <c r="E123" i="6"/>
  <c r="G122" i="6"/>
  <c r="E122" i="6"/>
  <c r="G121" i="6"/>
  <c r="E121" i="6"/>
  <c r="G120" i="6"/>
  <c r="E120" i="6"/>
  <c r="G119" i="6"/>
  <c r="E119" i="6"/>
  <c r="G118" i="6"/>
  <c r="E118" i="6"/>
  <c r="G117" i="6"/>
  <c r="E117" i="6"/>
  <c r="G116" i="6"/>
  <c r="E116" i="6"/>
  <c r="G115" i="6"/>
  <c r="E115" i="6"/>
  <c r="G114" i="6"/>
  <c r="E114" i="6"/>
  <c r="G113" i="6"/>
  <c r="E113" i="6"/>
  <c r="G112" i="6"/>
  <c r="E112" i="6"/>
  <c r="G111" i="6"/>
  <c r="E111" i="6"/>
  <c r="G110" i="6"/>
  <c r="E110" i="6"/>
  <c r="G109" i="6"/>
  <c r="E109" i="6"/>
  <c r="G108" i="6"/>
  <c r="E108" i="6"/>
  <c r="G107" i="6"/>
  <c r="E107" i="6"/>
  <c r="G106" i="6"/>
  <c r="E106" i="6"/>
  <c r="G105" i="6"/>
  <c r="E105" i="6"/>
  <c r="G104" i="6"/>
  <c r="E104" i="6"/>
  <c r="G103" i="6"/>
  <c r="E103" i="6"/>
  <c r="G102" i="6"/>
  <c r="E102" i="6"/>
  <c r="G101" i="6"/>
  <c r="E101" i="6"/>
  <c r="G100" i="6"/>
  <c r="E100" i="6"/>
  <c r="G99" i="6"/>
  <c r="E99" i="6"/>
  <c r="G98" i="6"/>
  <c r="E98" i="6"/>
  <c r="G97" i="6"/>
  <c r="E97" i="6"/>
  <c r="G96" i="6"/>
  <c r="E96" i="6"/>
  <c r="G95" i="6"/>
  <c r="E95" i="6"/>
  <c r="G94" i="6"/>
  <c r="E94" i="6"/>
  <c r="G93" i="6"/>
  <c r="E93" i="6"/>
  <c r="G92" i="6"/>
  <c r="E92" i="6"/>
  <c r="G91" i="6"/>
  <c r="E91" i="6"/>
  <c r="G90" i="6"/>
  <c r="E90" i="6"/>
  <c r="G89" i="6"/>
  <c r="E89" i="6"/>
  <c r="G88" i="6"/>
  <c r="E88" i="6"/>
  <c r="G87" i="6"/>
  <c r="E87" i="6"/>
  <c r="G86" i="6"/>
  <c r="E86" i="6"/>
  <c r="G85" i="6"/>
  <c r="E85" i="6"/>
  <c r="G84" i="6"/>
  <c r="E84" i="6"/>
  <c r="G83" i="6"/>
  <c r="E83" i="6"/>
  <c r="G82" i="6"/>
  <c r="E82" i="6"/>
  <c r="G81" i="6"/>
  <c r="E81" i="6"/>
  <c r="G80" i="6"/>
  <c r="E80" i="6"/>
  <c r="G79" i="6"/>
  <c r="E79" i="6"/>
  <c r="G78" i="6"/>
  <c r="E78" i="6"/>
  <c r="G77" i="6"/>
  <c r="E77" i="6"/>
  <c r="G76" i="6"/>
  <c r="E76" i="6"/>
  <c r="G75" i="6"/>
  <c r="E75" i="6"/>
  <c r="G74" i="6"/>
  <c r="E74" i="6"/>
  <c r="G73" i="6"/>
  <c r="E73" i="6"/>
  <c r="G72" i="6"/>
  <c r="E72" i="6"/>
  <c r="G71" i="6"/>
  <c r="E71" i="6"/>
  <c r="G70" i="6"/>
  <c r="E70" i="6"/>
  <c r="G69" i="6"/>
  <c r="E69" i="6"/>
  <c r="G68" i="6"/>
  <c r="E68" i="6"/>
  <c r="G67" i="6"/>
  <c r="E67" i="6"/>
  <c r="G66" i="6"/>
  <c r="E66" i="6"/>
  <c r="G65" i="6"/>
  <c r="E65" i="6"/>
  <c r="G64" i="6"/>
  <c r="E64" i="6"/>
  <c r="G63" i="6"/>
  <c r="E63" i="6"/>
  <c r="G62" i="6"/>
  <c r="E62" i="6"/>
  <c r="G61" i="6"/>
  <c r="E61" i="6"/>
  <c r="G60" i="6"/>
  <c r="E60" i="6"/>
  <c r="G59" i="6"/>
  <c r="E59" i="6"/>
  <c r="G58" i="6"/>
  <c r="E58" i="6"/>
  <c r="G57" i="6"/>
  <c r="E57" i="6"/>
  <c r="G56" i="6"/>
  <c r="E56" i="6"/>
  <c r="G55" i="6"/>
  <c r="E55" i="6"/>
  <c r="G54" i="6"/>
  <c r="E54" i="6"/>
  <c r="G53" i="6"/>
  <c r="E53" i="6"/>
  <c r="G52" i="6"/>
  <c r="E52" i="6"/>
  <c r="G51" i="6"/>
  <c r="E51" i="6"/>
  <c r="G50" i="6"/>
  <c r="E50" i="6"/>
  <c r="G49" i="6"/>
  <c r="E49" i="6"/>
  <c r="G48" i="6"/>
  <c r="E48" i="6"/>
  <c r="G47" i="6"/>
  <c r="E47" i="6"/>
  <c r="G46" i="6"/>
  <c r="E46" i="6"/>
  <c r="G45" i="6"/>
  <c r="E45" i="6"/>
  <c r="G44" i="6"/>
  <c r="E44" i="6"/>
  <c r="G43" i="6"/>
  <c r="E43" i="6"/>
  <c r="G42" i="6"/>
  <c r="E42" i="6"/>
  <c r="G41" i="6"/>
  <c r="E41" i="6"/>
  <c r="G40" i="6"/>
  <c r="E40" i="6"/>
  <c r="G39" i="6"/>
  <c r="E39" i="6"/>
  <c r="G38" i="6"/>
  <c r="E38" i="6"/>
  <c r="G37" i="6"/>
  <c r="E37" i="6"/>
  <c r="G36" i="6"/>
  <c r="E36" i="6"/>
  <c r="G35" i="6"/>
  <c r="E35" i="6"/>
  <c r="G34" i="6"/>
  <c r="E34" i="6"/>
  <c r="G33" i="6"/>
  <c r="E33" i="6"/>
  <c r="G32" i="6"/>
  <c r="E32" i="6"/>
  <c r="G31" i="6"/>
  <c r="E31" i="6"/>
  <c r="G30" i="6"/>
  <c r="E30" i="6"/>
  <c r="G29" i="6"/>
  <c r="E29" i="6"/>
  <c r="G28" i="6"/>
  <c r="E28" i="6"/>
  <c r="G27" i="6"/>
  <c r="E27" i="6"/>
  <c r="G26" i="6"/>
  <c r="E26" i="6"/>
  <c r="G25" i="6"/>
  <c r="E25" i="6"/>
  <c r="G24" i="6"/>
  <c r="E24" i="6"/>
  <c r="G23" i="6"/>
  <c r="E23" i="6"/>
  <c r="G22" i="6"/>
  <c r="E22" i="6"/>
  <c r="G21" i="6"/>
  <c r="E21" i="6"/>
  <c r="G20" i="6"/>
  <c r="E20" i="6"/>
  <c r="G19" i="6"/>
  <c r="E19" i="6"/>
  <c r="G18" i="6"/>
  <c r="E18" i="6"/>
  <c r="G17" i="6"/>
  <c r="E17" i="6"/>
  <c r="G16" i="6"/>
  <c r="E16" i="6"/>
  <c r="G15" i="6"/>
  <c r="E15" i="6"/>
  <c r="G14" i="6"/>
  <c r="E14" i="6"/>
  <c r="G13" i="6"/>
  <c r="E13" i="6"/>
  <c r="G12" i="6"/>
  <c r="E12" i="6"/>
  <c r="G11" i="6"/>
  <c r="E11" i="6"/>
  <c r="G10" i="6"/>
  <c r="E10" i="6"/>
  <c r="G9" i="6"/>
  <c r="E9" i="6"/>
  <c r="G8" i="6"/>
  <c r="E8" i="6"/>
  <c r="G7" i="6"/>
  <c r="E7" i="6"/>
  <c r="G6" i="6"/>
  <c r="E6" i="6"/>
  <c r="G5" i="6"/>
  <c r="E5" i="6"/>
  <c r="G4" i="6"/>
  <c r="E4" i="6"/>
  <c r="G3" i="6"/>
  <c r="E3" i="6"/>
  <c r="G2" i="6"/>
  <c r="E2" i="6"/>
  <c r="P500" i="3"/>
  <c r="O500" i="3"/>
  <c r="P499" i="3"/>
  <c r="O499" i="3"/>
  <c r="P498" i="3"/>
  <c r="O498" i="3"/>
  <c r="P497" i="3"/>
  <c r="O497" i="3"/>
  <c r="P496" i="3"/>
  <c r="O496" i="3"/>
  <c r="P495" i="3"/>
  <c r="O495" i="3"/>
  <c r="P494" i="3"/>
  <c r="O494" i="3"/>
  <c r="P493" i="3"/>
  <c r="O493" i="3"/>
  <c r="P492" i="3"/>
  <c r="O492" i="3"/>
  <c r="P491" i="3"/>
  <c r="O491" i="3"/>
  <c r="P490" i="3"/>
  <c r="O490" i="3"/>
  <c r="P489" i="3"/>
  <c r="O489" i="3"/>
  <c r="P488" i="3"/>
  <c r="O488" i="3"/>
  <c r="P487" i="3"/>
  <c r="O487" i="3"/>
  <c r="P486" i="3"/>
  <c r="O486" i="3"/>
  <c r="P485" i="3"/>
  <c r="O485" i="3"/>
  <c r="P484" i="3"/>
  <c r="O484" i="3"/>
  <c r="P483" i="3"/>
  <c r="O483" i="3"/>
  <c r="P482" i="3"/>
  <c r="O482" i="3"/>
  <c r="P481" i="3"/>
  <c r="O481" i="3"/>
  <c r="P480" i="3"/>
  <c r="O480" i="3"/>
  <c r="P479" i="3"/>
  <c r="O479" i="3"/>
  <c r="P478" i="3"/>
  <c r="O478" i="3"/>
  <c r="P477" i="3"/>
  <c r="O477" i="3"/>
  <c r="P476" i="3"/>
  <c r="O476" i="3"/>
  <c r="P475" i="3"/>
  <c r="O475" i="3"/>
  <c r="P474" i="3"/>
  <c r="O474" i="3"/>
  <c r="P473" i="3"/>
  <c r="O473" i="3"/>
  <c r="P472" i="3"/>
  <c r="O472" i="3"/>
  <c r="P471" i="3"/>
  <c r="O471" i="3"/>
  <c r="P470" i="3"/>
  <c r="O470" i="3"/>
  <c r="P469" i="3"/>
  <c r="O469" i="3"/>
  <c r="P468" i="3"/>
  <c r="O468" i="3"/>
  <c r="P467" i="3"/>
  <c r="O467" i="3"/>
  <c r="P466" i="3"/>
  <c r="O466" i="3"/>
  <c r="P465" i="3"/>
  <c r="O465" i="3"/>
  <c r="P464" i="3"/>
  <c r="O464" i="3"/>
  <c r="P463" i="3"/>
  <c r="O463" i="3"/>
  <c r="P462" i="3"/>
  <c r="O462" i="3"/>
  <c r="P461" i="3"/>
  <c r="O461" i="3"/>
  <c r="P460" i="3"/>
  <c r="O460" i="3"/>
  <c r="P459" i="3"/>
  <c r="O459" i="3"/>
  <c r="P458" i="3"/>
  <c r="O458" i="3"/>
  <c r="P457" i="3"/>
  <c r="O457" i="3"/>
  <c r="P456" i="3"/>
  <c r="O456" i="3"/>
  <c r="P455" i="3"/>
  <c r="O455" i="3"/>
  <c r="P454" i="3"/>
  <c r="O454" i="3"/>
  <c r="P453" i="3"/>
  <c r="O453" i="3"/>
  <c r="P452" i="3"/>
  <c r="O452" i="3"/>
  <c r="P451" i="3"/>
  <c r="O451" i="3"/>
  <c r="P450" i="3"/>
  <c r="O450" i="3"/>
  <c r="P449" i="3"/>
  <c r="O449" i="3"/>
  <c r="P448" i="3"/>
  <c r="O448" i="3"/>
  <c r="P447" i="3"/>
  <c r="O447" i="3"/>
  <c r="P446" i="3"/>
  <c r="O446" i="3"/>
  <c r="P445" i="3"/>
  <c r="O445" i="3"/>
  <c r="P444" i="3"/>
  <c r="O444" i="3"/>
  <c r="P443" i="3"/>
  <c r="O443" i="3"/>
  <c r="P442" i="3"/>
  <c r="O442" i="3"/>
  <c r="P441" i="3"/>
  <c r="O441" i="3"/>
  <c r="P440" i="3"/>
  <c r="O440" i="3"/>
  <c r="P439" i="3"/>
  <c r="O439" i="3"/>
  <c r="P438" i="3"/>
  <c r="O438" i="3"/>
  <c r="P437" i="3"/>
  <c r="O437" i="3"/>
  <c r="P436" i="3"/>
  <c r="O436" i="3"/>
  <c r="P435" i="3"/>
  <c r="O435" i="3"/>
  <c r="P434" i="3"/>
  <c r="O434" i="3"/>
  <c r="P433" i="3"/>
  <c r="O433" i="3"/>
  <c r="P432" i="3"/>
  <c r="O432" i="3"/>
  <c r="P431" i="3"/>
  <c r="O431" i="3"/>
  <c r="P430" i="3"/>
  <c r="O430" i="3"/>
  <c r="P429" i="3"/>
  <c r="O429" i="3"/>
  <c r="P428" i="3"/>
  <c r="O428" i="3"/>
  <c r="P427" i="3"/>
  <c r="O427" i="3"/>
  <c r="P426" i="3"/>
  <c r="O426" i="3"/>
  <c r="P425" i="3"/>
  <c r="O425" i="3"/>
  <c r="P424" i="3"/>
  <c r="O424" i="3"/>
  <c r="P423" i="3"/>
  <c r="O423" i="3"/>
  <c r="P422" i="3"/>
  <c r="O422" i="3"/>
  <c r="P421" i="3"/>
  <c r="O421" i="3"/>
  <c r="P420" i="3"/>
  <c r="O420" i="3"/>
  <c r="P419" i="3"/>
  <c r="O419" i="3"/>
  <c r="P418" i="3"/>
  <c r="O418" i="3"/>
  <c r="P417" i="3"/>
  <c r="O417" i="3"/>
  <c r="P416" i="3"/>
  <c r="O416" i="3"/>
  <c r="P415" i="3"/>
  <c r="O415" i="3"/>
  <c r="P414" i="3"/>
  <c r="O414" i="3"/>
  <c r="P413" i="3"/>
  <c r="O413" i="3"/>
  <c r="P412" i="3"/>
  <c r="O412" i="3"/>
  <c r="P411" i="3"/>
  <c r="O411" i="3"/>
  <c r="P410" i="3"/>
  <c r="O410" i="3"/>
  <c r="P409" i="3"/>
  <c r="O409" i="3"/>
  <c r="P408" i="3"/>
  <c r="O408" i="3"/>
  <c r="P407" i="3"/>
  <c r="O407" i="3"/>
  <c r="P406" i="3"/>
  <c r="O406" i="3"/>
  <c r="P405" i="3"/>
  <c r="O405" i="3"/>
  <c r="P404" i="3"/>
  <c r="O404" i="3"/>
  <c r="P403" i="3"/>
  <c r="O403" i="3"/>
  <c r="P402" i="3"/>
  <c r="O402" i="3"/>
  <c r="P401" i="3"/>
  <c r="O401" i="3"/>
  <c r="P400" i="3"/>
  <c r="O400" i="3"/>
  <c r="P399" i="3"/>
  <c r="O399" i="3"/>
  <c r="P398" i="3"/>
  <c r="O398" i="3"/>
  <c r="P397" i="3"/>
  <c r="O397" i="3"/>
  <c r="P396" i="3"/>
  <c r="O396" i="3"/>
  <c r="P395" i="3"/>
  <c r="O395" i="3"/>
  <c r="P394" i="3"/>
  <c r="O394" i="3"/>
  <c r="P393" i="3"/>
  <c r="O393" i="3"/>
  <c r="P392" i="3"/>
  <c r="O392" i="3"/>
  <c r="P391" i="3"/>
  <c r="O391" i="3"/>
  <c r="P390" i="3"/>
  <c r="O390" i="3"/>
  <c r="P389" i="3"/>
  <c r="O389" i="3"/>
  <c r="P388" i="3"/>
  <c r="O388" i="3"/>
  <c r="P387" i="3"/>
  <c r="O387" i="3"/>
  <c r="P386" i="3"/>
  <c r="O386" i="3"/>
  <c r="P385" i="3"/>
  <c r="O385" i="3"/>
  <c r="P384" i="3"/>
  <c r="O384" i="3"/>
  <c r="P383" i="3"/>
  <c r="O383" i="3"/>
  <c r="P382" i="3"/>
  <c r="O382" i="3"/>
  <c r="P381" i="3"/>
  <c r="O381" i="3"/>
  <c r="P380" i="3"/>
  <c r="O380" i="3"/>
  <c r="P379" i="3"/>
  <c r="O379" i="3"/>
  <c r="P378" i="3"/>
  <c r="O378" i="3"/>
  <c r="P377" i="3"/>
  <c r="O377" i="3"/>
  <c r="P376" i="3"/>
  <c r="O376" i="3"/>
  <c r="P375" i="3"/>
  <c r="O375" i="3"/>
  <c r="P374" i="3"/>
  <c r="O374" i="3"/>
  <c r="P373" i="3"/>
  <c r="O373" i="3"/>
  <c r="P372" i="3"/>
  <c r="O372" i="3"/>
  <c r="P371" i="3"/>
  <c r="O371" i="3"/>
  <c r="P370" i="3"/>
  <c r="O370" i="3"/>
  <c r="P369" i="3"/>
  <c r="O369" i="3"/>
  <c r="P368" i="3"/>
  <c r="O368" i="3"/>
  <c r="P367" i="3"/>
  <c r="O367" i="3"/>
  <c r="P366" i="3"/>
  <c r="O366" i="3"/>
  <c r="P365" i="3"/>
  <c r="O365" i="3"/>
  <c r="P364" i="3"/>
  <c r="O364" i="3"/>
  <c r="P363" i="3"/>
  <c r="O363" i="3"/>
  <c r="P362" i="3"/>
  <c r="O362" i="3"/>
  <c r="P361" i="3"/>
  <c r="O361" i="3"/>
  <c r="P360" i="3"/>
  <c r="O360" i="3"/>
  <c r="P359" i="3"/>
  <c r="O359" i="3"/>
  <c r="P358" i="3"/>
  <c r="O358" i="3"/>
  <c r="P357" i="3"/>
  <c r="O357" i="3"/>
  <c r="P356" i="3"/>
  <c r="O356" i="3"/>
  <c r="P355" i="3"/>
  <c r="O355" i="3"/>
  <c r="P354" i="3"/>
  <c r="O354" i="3"/>
  <c r="P353" i="3"/>
  <c r="O353" i="3"/>
  <c r="P352" i="3"/>
  <c r="O352" i="3"/>
  <c r="P351" i="3"/>
  <c r="O351" i="3"/>
  <c r="P350" i="3"/>
  <c r="O350" i="3"/>
  <c r="P349" i="3"/>
  <c r="O349" i="3"/>
  <c r="P348" i="3"/>
  <c r="O348" i="3"/>
  <c r="P347" i="3"/>
  <c r="O347" i="3"/>
  <c r="P346" i="3"/>
  <c r="O346" i="3"/>
  <c r="P345" i="3"/>
  <c r="O345" i="3"/>
  <c r="P344" i="3"/>
  <c r="O344" i="3"/>
  <c r="P343" i="3"/>
  <c r="O343" i="3"/>
  <c r="P342" i="3"/>
  <c r="O342" i="3"/>
  <c r="P341" i="3"/>
  <c r="O341" i="3"/>
  <c r="P340" i="3"/>
  <c r="O340" i="3"/>
  <c r="P339" i="3"/>
  <c r="O339" i="3"/>
  <c r="P338" i="3"/>
  <c r="O338" i="3"/>
  <c r="P337" i="3"/>
  <c r="O337" i="3"/>
  <c r="P336" i="3"/>
  <c r="O336" i="3"/>
  <c r="P335" i="3"/>
  <c r="O335" i="3"/>
  <c r="P334" i="3"/>
  <c r="O334" i="3"/>
  <c r="P333" i="3"/>
  <c r="O333" i="3"/>
  <c r="P332" i="3"/>
  <c r="O332" i="3"/>
  <c r="P331" i="3"/>
  <c r="O331" i="3"/>
  <c r="P330" i="3"/>
  <c r="O330" i="3"/>
  <c r="P329" i="3"/>
  <c r="O329" i="3"/>
  <c r="P328" i="3"/>
  <c r="O328" i="3"/>
  <c r="P327" i="3"/>
  <c r="O327" i="3"/>
  <c r="P326" i="3"/>
  <c r="O326" i="3"/>
  <c r="P325" i="3"/>
  <c r="O325" i="3"/>
  <c r="P324" i="3"/>
  <c r="O324" i="3"/>
  <c r="P323" i="3"/>
  <c r="O323" i="3"/>
  <c r="P322" i="3"/>
  <c r="O322" i="3"/>
  <c r="P321" i="3"/>
  <c r="O321" i="3"/>
  <c r="P320" i="3"/>
  <c r="O320" i="3"/>
  <c r="P319" i="3"/>
  <c r="O319" i="3"/>
  <c r="P318" i="3"/>
  <c r="O318" i="3"/>
  <c r="P317" i="3"/>
  <c r="O317" i="3"/>
  <c r="P316" i="3"/>
  <c r="O316" i="3"/>
  <c r="P315" i="3"/>
  <c r="O315" i="3"/>
  <c r="P314" i="3"/>
  <c r="O314" i="3"/>
  <c r="P313" i="3"/>
  <c r="O313" i="3"/>
  <c r="P312" i="3"/>
  <c r="O312" i="3"/>
  <c r="P311" i="3"/>
  <c r="O311" i="3"/>
  <c r="P310" i="3"/>
  <c r="O310" i="3"/>
  <c r="P309" i="3"/>
  <c r="O309" i="3"/>
  <c r="P308" i="3"/>
  <c r="O308" i="3"/>
  <c r="P307" i="3"/>
  <c r="O307" i="3"/>
  <c r="P306" i="3"/>
  <c r="O306" i="3"/>
  <c r="P305" i="3"/>
  <c r="O305" i="3"/>
  <c r="P304" i="3"/>
  <c r="O304" i="3"/>
  <c r="P303" i="3"/>
  <c r="O303" i="3"/>
  <c r="P302" i="3"/>
  <c r="O302" i="3"/>
  <c r="P301" i="3"/>
  <c r="O301" i="3"/>
  <c r="P300" i="3"/>
  <c r="O300" i="3"/>
  <c r="P299" i="3"/>
  <c r="O299" i="3"/>
  <c r="P298" i="3"/>
  <c r="O298" i="3"/>
  <c r="P297" i="3"/>
  <c r="O297" i="3"/>
  <c r="P296" i="3"/>
  <c r="O296" i="3"/>
  <c r="P295" i="3"/>
  <c r="O295" i="3"/>
  <c r="P294" i="3"/>
  <c r="O294" i="3"/>
  <c r="P293" i="3"/>
  <c r="O293" i="3"/>
  <c r="P292" i="3"/>
  <c r="O292" i="3"/>
  <c r="P291" i="3"/>
  <c r="O291" i="3"/>
  <c r="P290" i="3"/>
  <c r="O290" i="3"/>
  <c r="P289" i="3"/>
  <c r="O289" i="3"/>
  <c r="P288" i="3"/>
  <c r="O288" i="3"/>
  <c r="P287" i="3"/>
  <c r="O287" i="3"/>
  <c r="P286" i="3"/>
  <c r="O286" i="3"/>
  <c r="P285" i="3"/>
  <c r="O285" i="3"/>
  <c r="P284" i="3"/>
  <c r="O284" i="3"/>
  <c r="P283" i="3"/>
  <c r="O283" i="3"/>
  <c r="P282" i="3"/>
  <c r="O282" i="3"/>
  <c r="P281" i="3"/>
  <c r="O281" i="3"/>
  <c r="P280" i="3"/>
  <c r="O280" i="3"/>
  <c r="P279" i="3"/>
  <c r="O279" i="3"/>
  <c r="P278" i="3"/>
  <c r="O278" i="3"/>
  <c r="P277" i="3"/>
  <c r="O277" i="3"/>
  <c r="P276" i="3"/>
  <c r="O276" i="3"/>
  <c r="P275" i="3"/>
  <c r="O275" i="3"/>
  <c r="P274" i="3"/>
  <c r="O274" i="3"/>
  <c r="P273" i="3"/>
  <c r="O273" i="3"/>
  <c r="P272" i="3"/>
  <c r="O272" i="3"/>
  <c r="P271" i="3"/>
  <c r="O271" i="3"/>
  <c r="P270" i="3"/>
  <c r="O270" i="3"/>
  <c r="P269" i="3"/>
  <c r="O269" i="3"/>
  <c r="P268" i="3"/>
  <c r="O268" i="3"/>
  <c r="P267" i="3"/>
  <c r="O267" i="3"/>
  <c r="P266" i="3"/>
  <c r="O266" i="3"/>
  <c r="P265" i="3"/>
  <c r="O265" i="3"/>
  <c r="P264" i="3"/>
  <c r="O264" i="3"/>
  <c r="P263" i="3"/>
  <c r="O263" i="3"/>
  <c r="P262" i="3"/>
  <c r="O262" i="3"/>
  <c r="P261" i="3"/>
  <c r="O261" i="3"/>
  <c r="P260" i="3"/>
  <c r="O260" i="3"/>
  <c r="P259" i="3"/>
  <c r="O259" i="3"/>
  <c r="P258" i="3"/>
  <c r="O258" i="3"/>
  <c r="P257" i="3"/>
  <c r="O257" i="3"/>
  <c r="P256" i="3"/>
  <c r="O256" i="3"/>
  <c r="P255" i="3"/>
  <c r="O255" i="3"/>
  <c r="P254" i="3"/>
  <c r="O254" i="3"/>
  <c r="P253" i="3"/>
  <c r="O253" i="3"/>
  <c r="P252" i="3"/>
  <c r="O252" i="3"/>
  <c r="P251" i="3"/>
  <c r="O251" i="3"/>
  <c r="P250" i="3"/>
  <c r="O250" i="3"/>
  <c r="P249" i="3"/>
  <c r="O249" i="3"/>
  <c r="P248" i="3"/>
  <c r="O248" i="3"/>
  <c r="P247" i="3"/>
  <c r="O247" i="3"/>
  <c r="P246" i="3"/>
  <c r="O246" i="3"/>
  <c r="P245" i="3"/>
  <c r="O245" i="3"/>
  <c r="P244" i="3"/>
  <c r="O244" i="3"/>
  <c r="P243" i="3"/>
  <c r="O243" i="3"/>
  <c r="P242" i="3"/>
  <c r="O242" i="3"/>
  <c r="P241" i="3"/>
  <c r="O241" i="3"/>
  <c r="P240" i="3"/>
  <c r="O240" i="3"/>
  <c r="P239" i="3"/>
  <c r="O239" i="3"/>
  <c r="P238" i="3"/>
  <c r="O238" i="3"/>
  <c r="P237" i="3"/>
  <c r="O237" i="3"/>
  <c r="P236" i="3"/>
  <c r="O236" i="3"/>
  <c r="P235" i="3"/>
  <c r="O235" i="3"/>
  <c r="P234" i="3"/>
  <c r="O234" i="3"/>
  <c r="P233" i="3"/>
  <c r="O233" i="3"/>
  <c r="P232" i="3"/>
  <c r="O232" i="3"/>
  <c r="P231" i="3"/>
  <c r="O231" i="3"/>
  <c r="P230" i="3"/>
  <c r="O230" i="3"/>
  <c r="P229" i="3"/>
  <c r="O229" i="3"/>
  <c r="P228" i="3"/>
  <c r="O228" i="3"/>
  <c r="P227" i="3"/>
  <c r="O227" i="3"/>
  <c r="P226" i="3"/>
  <c r="O226" i="3"/>
  <c r="P225" i="3"/>
  <c r="O225" i="3"/>
  <c r="P224" i="3"/>
  <c r="O224" i="3"/>
  <c r="P223" i="3"/>
  <c r="O223" i="3"/>
  <c r="P222" i="3"/>
  <c r="O222" i="3"/>
  <c r="P221" i="3"/>
  <c r="O221" i="3"/>
  <c r="P220" i="3"/>
  <c r="O220" i="3"/>
  <c r="P219" i="3"/>
  <c r="O219" i="3"/>
  <c r="P218" i="3"/>
  <c r="O218" i="3"/>
  <c r="P217" i="3"/>
  <c r="O217" i="3"/>
  <c r="P216" i="3"/>
  <c r="O216" i="3"/>
  <c r="P215" i="3"/>
  <c r="O215" i="3"/>
  <c r="P214" i="3"/>
  <c r="O214" i="3"/>
  <c r="P213" i="3"/>
  <c r="O213" i="3"/>
  <c r="P212" i="3"/>
  <c r="O212" i="3"/>
  <c r="P211" i="3"/>
  <c r="O211" i="3"/>
  <c r="P210" i="3"/>
  <c r="O210" i="3"/>
  <c r="P209" i="3"/>
  <c r="O209" i="3"/>
  <c r="P208" i="3"/>
  <c r="O208" i="3"/>
  <c r="P207" i="3"/>
  <c r="O207" i="3"/>
  <c r="P206" i="3"/>
  <c r="O206" i="3"/>
  <c r="P205" i="3"/>
  <c r="O205" i="3"/>
  <c r="P204" i="3"/>
  <c r="O204" i="3"/>
  <c r="P203" i="3"/>
  <c r="O203" i="3"/>
  <c r="P202" i="3"/>
  <c r="O202" i="3"/>
  <c r="P201" i="3"/>
  <c r="O201" i="3"/>
  <c r="P200" i="3"/>
  <c r="O200" i="3"/>
  <c r="P199" i="3"/>
  <c r="O199" i="3"/>
  <c r="P198" i="3"/>
  <c r="O198" i="3"/>
  <c r="P197" i="3"/>
  <c r="O197" i="3"/>
  <c r="P196" i="3"/>
  <c r="O196" i="3"/>
  <c r="P195" i="3"/>
  <c r="O195" i="3"/>
  <c r="P194" i="3"/>
  <c r="O194" i="3"/>
  <c r="P193" i="3"/>
  <c r="O193" i="3"/>
  <c r="P192" i="3"/>
  <c r="O192" i="3"/>
  <c r="P191" i="3"/>
  <c r="O191" i="3"/>
  <c r="P190" i="3"/>
  <c r="O190" i="3"/>
  <c r="P189" i="3"/>
  <c r="O189" i="3"/>
  <c r="P188" i="3"/>
  <c r="O188" i="3"/>
  <c r="P187" i="3"/>
  <c r="O187" i="3"/>
  <c r="P186" i="3"/>
  <c r="O186" i="3"/>
  <c r="P185" i="3"/>
  <c r="O185" i="3"/>
  <c r="P184" i="3"/>
  <c r="O184" i="3"/>
  <c r="P183" i="3"/>
  <c r="O183" i="3"/>
  <c r="P182" i="3"/>
  <c r="O182" i="3"/>
  <c r="P181" i="3"/>
  <c r="O181" i="3"/>
  <c r="P180" i="3"/>
  <c r="O180" i="3"/>
  <c r="P179" i="3"/>
  <c r="O179" i="3"/>
  <c r="P178" i="3"/>
  <c r="O178" i="3"/>
  <c r="P177" i="3"/>
  <c r="O177" i="3"/>
  <c r="P176" i="3"/>
  <c r="O176" i="3"/>
  <c r="P175" i="3"/>
  <c r="O175" i="3"/>
  <c r="P174" i="3"/>
  <c r="O174" i="3"/>
  <c r="P173" i="3"/>
  <c r="O173" i="3"/>
  <c r="P172" i="3"/>
  <c r="O172" i="3"/>
  <c r="P171" i="3"/>
  <c r="O171" i="3"/>
  <c r="P170" i="3"/>
  <c r="O170" i="3"/>
  <c r="P169" i="3"/>
  <c r="O169" i="3"/>
  <c r="P168" i="3"/>
  <c r="O168" i="3"/>
  <c r="P167" i="3"/>
  <c r="O167" i="3"/>
  <c r="P166" i="3"/>
  <c r="O166" i="3"/>
  <c r="P165" i="3"/>
  <c r="O165" i="3"/>
  <c r="P164" i="3"/>
  <c r="O164" i="3"/>
  <c r="P163" i="3"/>
  <c r="O163" i="3"/>
  <c r="P162" i="3"/>
  <c r="O162" i="3"/>
  <c r="P161" i="3"/>
  <c r="O161" i="3"/>
  <c r="P160" i="3"/>
  <c r="O160" i="3"/>
  <c r="P159" i="3"/>
  <c r="O159" i="3"/>
  <c r="P158" i="3"/>
  <c r="O158" i="3"/>
  <c r="P157" i="3"/>
  <c r="O157" i="3"/>
  <c r="P156" i="3"/>
  <c r="O156" i="3"/>
  <c r="P155" i="3"/>
  <c r="O155" i="3"/>
  <c r="P154" i="3"/>
  <c r="O154" i="3"/>
  <c r="P153" i="3"/>
  <c r="O153" i="3"/>
  <c r="P152" i="3"/>
  <c r="O152" i="3"/>
  <c r="P151" i="3"/>
  <c r="O151" i="3"/>
  <c r="P150" i="3"/>
  <c r="O150" i="3"/>
  <c r="P149" i="3"/>
  <c r="O149" i="3"/>
  <c r="P148" i="3"/>
  <c r="O148" i="3"/>
  <c r="P147" i="3"/>
  <c r="O147" i="3"/>
  <c r="P146" i="3"/>
  <c r="O146" i="3"/>
  <c r="P145" i="3"/>
  <c r="O145" i="3"/>
  <c r="P144" i="3"/>
  <c r="O144" i="3"/>
  <c r="P143" i="3"/>
  <c r="O143" i="3"/>
  <c r="P142" i="3"/>
  <c r="O142" i="3"/>
  <c r="P141" i="3"/>
  <c r="O141" i="3"/>
  <c r="P140" i="3"/>
  <c r="O140" i="3"/>
  <c r="P139" i="3"/>
  <c r="O139" i="3"/>
  <c r="P138" i="3"/>
  <c r="O138" i="3"/>
  <c r="P137" i="3"/>
  <c r="O137" i="3"/>
  <c r="P136" i="3"/>
  <c r="O136" i="3"/>
  <c r="P135" i="3"/>
  <c r="O135" i="3"/>
  <c r="P134" i="3"/>
  <c r="O134" i="3"/>
  <c r="P133" i="3"/>
  <c r="O133" i="3"/>
  <c r="P132" i="3"/>
  <c r="O132" i="3"/>
  <c r="P131" i="3"/>
  <c r="O131" i="3"/>
  <c r="P130" i="3"/>
  <c r="O130" i="3"/>
  <c r="P129" i="3"/>
  <c r="O129" i="3"/>
  <c r="P128" i="3"/>
  <c r="O128" i="3"/>
  <c r="P127" i="3"/>
  <c r="O127" i="3"/>
  <c r="P126" i="3"/>
  <c r="O126" i="3"/>
  <c r="P125" i="3"/>
  <c r="O125" i="3"/>
  <c r="P124" i="3"/>
  <c r="O124" i="3"/>
  <c r="P123" i="3"/>
  <c r="O123" i="3"/>
  <c r="P122" i="3"/>
  <c r="O122" i="3"/>
  <c r="P121" i="3"/>
  <c r="O121" i="3"/>
  <c r="P120" i="3"/>
  <c r="O120" i="3"/>
  <c r="P119" i="3"/>
  <c r="O119" i="3"/>
  <c r="P118" i="3"/>
  <c r="O118" i="3"/>
  <c r="P117" i="3"/>
  <c r="O117" i="3"/>
  <c r="P116" i="3"/>
  <c r="O116" i="3"/>
  <c r="P115" i="3"/>
  <c r="O115" i="3"/>
  <c r="P114" i="3"/>
  <c r="O114" i="3"/>
  <c r="P113" i="3"/>
  <c r="O113" i="3"/>
  <c r="P112" i="3"/>
  <c r="O112" i="3"/>
  <c r="P111" i="3"/>
  <c r="O111" i="3"/>
  <c r="P110" i="3"/>
  <c r="O110" i="3"/>
  <c r="P109" i="3"/>
  <c r="O109" i="3"/>
  <c r="P108" i="3"/>
  <c r="O108" i="3"/>
  <c r="P107" i="3"/>
  <c r="O107" i="3"/>
  <c r="P106" i="3"/>
  <c r="O106" i="3"/>
  <c r="P105" i="3"/>
  <c r="O105" i="3"/>
  <c r="P104" i="3"/>
  <c r="O104" i="3"/>
  <c r="P103" i="3"/>
  <c r="O103" i="3"/>
  <c r="P102" i="3"/>
  <c r="O102" i="3"/>
  <c r="P101" i="3"/>
  <c r="O101" i="3"/>
  <c r="P100" i="3"/>
  <c r="O100" i="3"/>
  <c r="P99" i="3"/>
  <c r="O99" i="3"/>
  <c r="P98" i="3"/>
  <c r="O98" i="3"/>
  <c r="P97" i="3"/>
  <c r="O97" i="3"/>
  <c r="P96" i="3"/>
  <c r="O96" i="3"/>
  <c r="P95" i="3"/>
  <c r="O95" i="3"/>
  <c r="P94" i="3"/>
  <c r="O94" i="3"/>
  <c r="P93" i="3"/>
  <c r="O93" i="3"/>
  <c r="P92" i="3"/>
  <c r="O92" i="3"/>
  <c r="P91" i="3"/>
  <c r="O91" i="3"/>
  <c r="P90" i="3"/>
  <c r="O90" i="3"/>
  <c r="P89" i="3"/>
  <c r="O89" i="3"/>
  <c r="P88" i="3"/>
  <c r="O88" i="3"/>
  <c r="P87" i="3"/>
  <c r="O87" i="3"/>
  <c r="P86" i="3"/>
  <c r="O86" i="3"/>
  <c r="P85" i="3"/>
  <c r="O85" i="3"/>
  <c r="P84" i="3"/>
  <c r="O84" i="3"/>
  <c r="P83" i="3"/>
  <c r="O83" i="3"/>
  <c r="P82" i="3"/>
  <c r="O82" i="3"/>
  <c r="P81" i="3"/>
  <c r="O81" i="3"/>
  <c r="P80" i="3"/>
  <c r="O80" i="3"/>
  <c r="P79" i="3"/>
  <c r="O79" i="3"/>
  <c r="P78" i="3"/>
  <c r="O78" i="3"/>
  <c r="P77" i="3"/>
  <c r="O77" i="3"/>
  <c r="P76" i="3"/>
  <c r="O76" i="3"/>
  <c r="P75" i="3"/>
  <c r="O75" i="3"/>
  <c r="P74" i="3"/>
  <c r="O74" i="3"/>
  <c r="P73" i="3"/>
  <c r="O73" i="3"/>
  <c r="P72" i="3"/>
  <c r="O72" i="3"/>
  <c r="P71" i="3"/>
  <c r="O71" i="3"/>
  <c r="P70" i="3"/>
  <c r="O70" i="3"/>
  <c r="P69" i="3"/>
  <c r="O69" i="3"/>
  <c r="P68" i="3"/>
  <c r="O68" i="3"/>
  <c r="P67" i="3"/>
  <c r="O67" i="3"/>
  <c r="P66" i="3"/>
  <c r="O66" i="3"/>
  <c r="P65" i="3"/>
  <c r="O65" i="3"/>
  <c r="P64" i="3"/>
  <c r="O64" i="3"/>
  <c r="P63" i="3"/>
  <c r="O63" i="3"/>
  <c r="P62" i="3"/>
  <c r="O62" i="3"/>
  <c r="P61" i="3"/>
  <c r="O61" i="3"/>
  <c r="P60" i="3"/>
  <c r="O60" i="3"/>
  <c r="P59" i="3"/>
  <c r="O59" i="3"/>
  <c r="P58" i="3"/>
  <c r="O58" i="3"/>
  <c r="P57" i="3"/>
  <c r="O57" i="3"/>
  <c r="P56" i="3"/>
  <c r="O56" i="3"/>
  <c r="P55" i="3"/>
  <c r="O55" i="3"/>
  <c r="P54" i="3"/>
  <c r="O54" i="3"/>
  <c r="P53" i="3"/>
  <c r="O53" i="3"/>
  <c r="P52" i="3"/>
  <c r="O52" i="3"/>
  <c r="P51" i="3"/>
  <c r="O51" i="3"/>
  <c r="P50" i="3"/>
  <c r="O50" i="3"/>
  <c r="P49" i="3"/>
  <c r="O49" i="3"/>
  <c r="P48" i="3"/>
  <c r="O48" i="3"/>
  <c r="P47" i="3"/>
  <c r="O47" i="3"/>
  <c r="P46" i="3"/>
  <c r="O46" i="3"/>
  <c r="P45" i="3"/>
  <c r="O45" i="3"/>
  <c r="P44" i="3"/>
  <c r="O44" i="3"/>
  <c r="P43" i="3"/>
  <c r="O43" i="3"/>
  <c r="P42" i="3"/>
  <c r="O42" i="3"/>
  <c r="P41" i="3"/>
  <c r="O41" i="3"/>
  <c r="P40" i="3"/>
  <c r="O40" i="3"/>
  <c r="P39" i="3"/>
  <c r="O39" i="3"/>
  <c r="P38" i="3"/>
  <c r="O38" i="3"/>
  <c r="P37" i="3"/>
  <c r="O37" i="3"/>
  <c r="P36" i="3"/>
  <c r="O36" i="3"/>
  <c r="P35" i="3"/>
  <c r="O35" i="3"/>
  <c r="P34" i="3"/>
  <c r="O34" i="3"/>
  <c r="P33" i="3"/>
  <c r="O33" i="3"/>
  <c r="P32" i="3"/>
  <c r="O32" i="3"/>
  <c r="P31" i="3"/>
  <c r="O31" i="3"/>
  <c r="P30" i="3"/>
  <c r="O30" i="3"/>
  <c r="P29" i="3"/>
  <c r="O29" i="3"/>
  <c r="P28" i="3"/>
  <c r="O28" i="3"/>
  <c r="P27" i="3"/>
  <c r="O27" i="3"/>
  <c r="P26" i="3"/>
  <c r="O26" i="3"/>
  <c r="P25" i="3"/>
  <c r="O25" i="3"/>
  <c r="P24" i="3"/>
  <c r="O24" i="3"/>
  <c r="P23" i="3"/>
  <c r="O23" i="3"/>
  <c r="P22" i="3"/>
  <c r="O22" i="3"/>
  <c r="P21" i="3"/>
  <c r="O21" i="3"/>
  <c r="P20" i="3"/>
  <c r="O20" i="3"/>
  <c r="P19" i="3"/>
  <c r="O19" i="3"/>
  <c r="P18" i="3"/>
  <c r="O18" i="3"/>
  <c r="P17" i="3"/>
  <c r="O17" i="3"/>
  <c r="P16" i="3"/>
  <c r="O16" i="3"/>
  <c r="P15" i="3"/>
  <c r="O15" i="3"/>
  <c r="P14" i="3"/>
  <c r="O14" i="3"/>
  <c r="P13" i="3"/>
  <c r="O13" i="3"/>
  <c r="P12" i="3"/>
  <c r="O12" i="3"/>
  <c r="P11" i="3"/>
  <c r="O11" i="3"/>
  <c r="P10" i="3"/>
  <c r="O10" i="3"/>
  <c r="P9" i="3"/>
  <c r="O9" i="3"/>
  <c r="P8" i="3"/>
  <c r="O8" i="3"/>
  <c r="P7" i="3"/>
  <c r="O7" i="3"/>
  <c r="P6" i="3"/>
  <c r="O6" i="3"/>
  <c r="P5" i="3"/>
  <c r="O5" i="3"/>
  <c r="P4" i="3"/>
  <c r="O4" i="3"/>
  <c r="P3" i="3"/>
  <c r="O3" i="3"/>
  <c r="P2" i="3"/>
  <c r="O2" i="3"/>
  <c r="D37" i="2"/>
  <c r="E37" i="2" s="1"/>
  <c r="D36" i="2"/>
  <c r="E36" i="2" s="1"/>
  <c r="D35" i="2"/>
  <c r="E35" i="2" s="1"/>
  <c r="A35" i="2"/>
  <c r="B35" i="2" s="1"/>
  <c r="D34" i="2"/>
  <c r="E34" i="2" s="1"/>
  <c r="A34" i="2"/>
  <c r="B34" i="2" s="1"/>
  <c r="D33" i="2"/>
  <c r="E33" i="2" s="1"/>
  <c r="A33" i="2"/>
  <c r="B33" i="2" s="1"/>
  <c r="A32" i="2"/>
  <c r="B32" i="2" s="1"/>
  <c r="A31" i="2"/>
  <c r="B31" i="2" s="1"/>
  <c r="D30" i="2"/>
  <c r="E30" i="2" s="1"/>
  <c r="A30" i="2"/>
  <c r="B30" i="2" s="1"/>
  <c r="D29" i="2"/>
  <c r="E29" i="2" s="1"/>
  <c r="A29" i="2"/>
  <c r="B29" i="2" s="1"/>
  <c r="D28" i="2"/>
  <c r="E28" i="2" s="1"/>
  <c r="A28" i="2"/>
  <c r="B28" i="2" s="1"/>
  <c r="D27" i="2"/>
  <c r="E27" i="2" s="1"/>
  <c r="D26" i="2"/>
  <c r="E26" i="2" s="1"/>
  <c r="D25" i="2"/>
  <c r="E25" i="2" s="1"/>
  <c r="A25" i="2"/>
  <c r="B25" i="2" s="1"/>
  <c r="D24" i="2"/>
  <c r="E24" i="2" s="1"/>
  <c r="A24" i="2"/>
  <c r="B24" i="2" s="1"/>
  <c r="D23" i="2"/>
  <c r="E23" i="2" s="1"/>
  <c r="A23" i="2"/>
  <c r="B23" i="2" s="1"/>
  <c r="D22" i="2"/>
  <c r="E22" i="2" s="1"/>
  <c r="A22" i="2"/>
  <c r="B22" i="2" s="1"/>
  <c r="D21" i="2"/>
  <c r="E21" i="2" s="1"/>
  <c r="A21" i="2"/>
  <c r="B21" i="2" s="1"/>
  <c r="D20" i="2"/>
  <c r="E20" i="2" s="1"/>
  <c r="A20" i="2"/>
  <c r="B20" i="2" s="1"/>
  <c r="D19" i="2"/>
  <c r="E19" i="2" s="1"/>
  <c r="A19" i="2"/>
  <c r="B19" i="2" s="1"/>
  <c r="D18" i="2"/>
  <c r="E18" i="2" s="1"/>
  <c r="A18" i="2"/>
  <c r="B18" i="2" s="1"/>
  <c r="D17" i="2"/>
  <c r="E17" i="2" s="1"/>
  <c r="D16" i="2"/>
  <c r="E16" i="2" s="1"/>
  <c r="D15" i="2"/>
  <c r="E15" i="2" s="1"/>
  <c r="B15" i="2"/>
  <c r="E14" i="2"/>
  <c r="D14" i="2"/>
  <c r="B14" i="2"/>
  <c r="D13" i="2"/>
  <c r="E13" i="2" s="1"/>
  <c r="B13" i="2"/>
  <c r="E12" i="2"/>
  <c r="D12" i="2"/>
  <c r="B12" i="2"/>
  <c r="D11" i="2"/>
  <c r="E11" i="2" s="1"/>
  <c r="D10" i="2"/>
  <c r="E10" i="2" s="1"/>
  <c r="D9" i="2"/>
  <c r="E9" i="2" s="1"/>
  <c r="B9" i="2"/>
  <c r="E8" i="2"/>
  <c r="D8" i="2"/>
  <c r="B8" i="2"/>
  <c r="D7" i="2"/>
  <c r="E7" i="2" s="1"/>
  <c r="B7" i="2"/>
  <c r="E6" i="2"/>
  <c r="D6" i="2"/>
  <c r="B6" i="2"/>
  <c r="D5" i="2"/>
  <c r="E5" i="2" s="1"/>
  <c r="B5" i="2"/>
</calcChain>
</file>

<file path=xl/sharedStrings.xml><?xml version="1.0" encoding="utf-8"?>
<sst xmlns="http://schemas.openxmlformats.org/spreadsheetml/2006/main" count="477" uniqueCount="245">
  <si>
    <t>IT ASSET INVENTORY — Phoenix BPO Solutions</t>
  </si>
  <si>
    <t>The tabs</t>
  </si>
  <si>
    <t>Dashboard  —  what needs attention. Updates itself.</t>
  </si>
  <si>
    <t>Asset Register  —  one row per item: what it is, who has it, where.</t>
  </si>
  <si>
    <t>Change Log  —  one row each time an item is issued, returned, moved or changed.</t>
  </si>
  <si>
    <t>Fault Log  —  one row per fault or repair.</t>
  </si>
  <si>
    <t>Consumables  —  spare stock you don't tag one by one (chargers, cables, spare mice).</t>
  </si>
  <si>
    <t>Lists  —  dropdown values, tag prefixes, and the next free tag for each category.</t>
  </si>
  <si>
    <t>Daily routine</t>
  </si>
  <si>
    <t>Giving out an item:  Change Log row (Issued)  →  update Assigned To / NID / Department in Asset Register.</t>
  </si>
  <si>
    <t>Something breaks:  Fault Log row (Status = Open)  →  Asset Register Status = Faulty or Under Repair.</t>
  </si>
  <si>
    <t>Fixed:  Fault Log Status = Closed + Date Closed  →  Asset Register Status back to In Use or Spare.</t>
  </si>
  <si>
    <t>New item:  take the Next Free Tag from Lists  →  stick the label on  →  add a row in Asset Register.</t>
  </si>
  <si>
    <t>Rules</t>
  </si>
  <si>
    <t>1.  Asset Tag is the ID (PBS-LAP-001). One row per item, no blank rows in between.</t>
  </si>
  <si>
    <t>2.  Use the dropdowns. Asset Tag in Change Log / Fault Log only accepts tags already in the Asset Register.</t>
  </si>
  <si>
    <t>3.  Never delete an item. Set Status = Disposed (the row turns grey).</t>
  </si>
  <si>
    <t>4.  Chargers go in the laptop's Notes, not as separate rows.</t>
  </si>
  <si>
    <t>5.  NID numbers are personal data — share this file only with people who need it.</t>
  </si>
  <si>
    <t>Colours</t>
  </si>
  <si>
    <t>Yellow cell  =  placeholder (dummy) value. Replace it with the real value, then clear the yellow.</t>
  </si>
  <si>
    <t>Grey column header  =  calculated automatically. Don't type in these columns.</t>
  </si>
  <si>
    <t>Red  =  act now: open fault, faulty / lost item, duplicate tag or serial, stock to reorder.</t>
  </si>
  <si>
    <t>Amber  =  item marked In Use but nobody assigned.</t>
  </si>
  <si>
    <t>IT ASSET DASHBOARD — Phoenix BPO Solutions</t>
  </si>
  <si>
    <t>Updates by itself from the other tabs. Nothing to type here.</t>
  </si>
  <si>
    <t>Needs attention</t>
  </si>
  <si>
    <t>Active by category</t>
  </si>
  <si>
    <t>Open faults</t>
  </si>
  <si>
    <t>In Use but nobody assigned</t>
  </si>
  <si>
    <t>Faulty / under repair</t>
  </si>
  <si>
    <t>Lost / stolen</t>
  </si>
  <si>
    <t>Consumables to reorder</t>
  </si>
  <si>
    <t>Overview</t>
  </si>
  <si>
    <t>Total assets on register</t>
  </si>
  <si>
    <t>Active (not retired / disposed)</t>
  </si>
  <si>
    <t>Spare (ready to issue)</t>
  </si>
  <si>
    <t>Repair spend this year (LKR)</t>
  </si>
  <si>
    <t>Assets by status</t>
  </si>
  <si>
    <t>Active assets by department</t>
  </si>
  <si>
    <t>Faults by status</t>
  </si>
  <si>
    <t>Asset Tag</t>
  </si>
  <si>
    <t>Category</t>
  </si>
  <si>
    <t>Make</t>
  </si>
  <si>
    <t>Model</t>
  </si>
  <si>
    <t>Serial Number</t>
  </si>
  <si>
    <t>Status</t>
  </si>
  <si>
    <t>Condition</t>
  </si>
  <si>
    <t>Assigned To</t>
  </si>
  <si>
    <t>NID No.</t>
  </si>
  <si>
    <t>Department</t>
  </si>
  <si>
    <t>Location / Desk</t>
  </si>
  <si>
    <t>Date Assigned</t>
  </si>
  <si>
    <t>Specification</t>
  </si>
  <si>
    <t>Notes</t>
  </si>
  <si>
    <t>Open Faults</t>
  </si>
  <si>
    <t>Times Repaired</t>
  </si>
  <si>
    <t>PBS-LAP-001</t>
  </si>
  <si>
    <t>Laptop</t>
  </si>
  <si>
    <t>Dell</t>
  </si>
  <si>
    <t>Latitude 5400</t>
  </si>
  <si>
    <t>B4FLZY2</t>
  </si>
  <si>
    <t>In Use</t>
  </si>
  <si>
    <t>Good</t>
  </si>
  <si>
    <t>sahan samidhu</t>
  </si>
  <si>
    <t>IT</t>
  </si>
  <si>
    <t>travel section</t>
  </si>
  <si>
    <t>i7-8665U / 8GB / 256GB SSD</t>
  </si>
  <si>
    <t>Charger, mouse, mouse pad</t>
  </si>
  <si>
    <t>PBS-MOU-001</t>
  </si>
  <si>
    <t>Mouse</t>
  </si>
  <si>
    <t>MS116T</t>
  </si>
  <si>
    <t>optical mouse</t>
  </si>
  <si>
    <t>PBS-LAP-002</t>
  </si>
  <si>
    <t>Lenovo</t>
  </si>
  <si>
    <t>ThinkPad T470</t>
  </si>
  <si>
    <t>Travel User 1</t>
  </si>
  <si>
    <t>Travel</t>
  </si>
  <si>
    <t>Travel section / Desk 1</t>
  </si>
  <si>
    <t>i5-7300U / 8GB / 256GB SSD</t>
  </si>
  <si>
    <t>Charger: Lenovo 65W</t>
  </si>
  <si>
    <t>PBS-MOU-002</t>
  </si>
  <si>
    <t>PBS-HST-001</t>
  </si>
  <si>
    <t>Headset</t>
  </si>
  <si>
    <t>Logitech</t>
  </si>
  <si>
    <t>TBC</t>
  </si>
  <si>
    <t>PBS-LAP-003</t>
  </si>
  <si>
    <t>Travel User 2</t>
  </si>
  <si>
    <t>Travel section / Desk 2</t>
  </si>
  <si>
    <t>PBS-MOU-003</t>
  </si>
  <si>
    <t>PBS-HST-002</t>
  </si>
  <si>
    <t>PBS-LAP-004</t>
  </si>
  <si>
    <t>Travel User 3</t>
  </si>
  <si>
    <t>Travel section / Desk 3</t>
  </si>
  <si>
    <t>PBS-MOU-004</t>
  </si>
  <si>
    <t>PBS-HST-003</t>
  </si>
  <si>
    <t>PBS-LAP-005</t>
  </si>
  <si>
    <t>Travel User 4</t>
  </si>
  <si>
    <t>Travel section / Desk 4</t>
  </si>
  <si>
    <t>PBS-MOU-005</t>
  </si>
  <si>
    <t>PBS-HST-004</t>
  </si>
  <si>
    <t>PBS-LAP-006</t>
  </si>
  <si>
    <t>Travel User 5</t>
  </si>
  <si>
    <t>Travel section / Desk 5</t>
  </si>
  <si>
    <t>PBS-MOU-006</t>
  </si>
  <si>
    <t>PBS-HST-005</t>
  </si>
  <si>
    <t>Log ID</t>
  </si>
  <si>
    <t>Date</t>
  </si>
  <si>
    <t>Change Type</t>
  </si>
  <si>
    <t>From
(user / location / old part)</t>
  </si>
  <si>
    <t>To
(user / location / new part)</t>
  </si>
  <si>
    <t>Reason / Details</t>
  </si>
  <si>
    <t>Handover Form No</t>
  </si>
  <si>
    <t>CHG-0001</t>
  </si>
  <si>
    <t>Issued</t>
  </si>
  <si>
    <t>IT Store</t>
  </si>
  <si>
    <t>IT section — recorded during inventory setup</t>
  </si>
  <si>
    <t>CHG-0002</t>
  </si>
  <si>
    <t>CHG-0003</t>
  </si>
  <si>
    <t>Travel section — recorded during inventory setup</t>
  </si>
  <si>
    <t>CHG-0004</t>
  </si>
  <si>
    <t>CHG-0005</t>
  </si>
  <si>
    <t>CHG-0006</t>
  </si>
  <si>
    <t>CHG-0007</t>
  </si>
  <si>
    <t>CHG-0008</t>
  </si>
  <si>
    <t>CHG-0009</t>
  </si>
  <si>
    <t>CHG-0010</t>
  </si>
  <si>
    <t>CHG-0011</t>
  </si>
  <si>
    <t>CHG-0012</t>
  </si>
  <si>
    <t>CHG-0013</t>
  </si>
  <si>
    <t>CHG-0014</t>
  </si>
  <si>
    <t>CHG-0015</t>
  </si>
  <si>
    <t>CHG-0016</t>
  </si>
  <si>
    <t>CHG-0017</t>
  </si>
  <si>
    <t>Fault ID</t>
  </si>
  <si>
    <t>Date Reported</t>
  </si>
  <si>
    <t>Reported By</t>
  </si>
  <si>
    <t>Fault / Issue</t>
  </si>
  <si>
    <t>Action Taken</t>
  </si>
  <si>
    <t>Cost (LKR)</t>
  </si>
  <si>
    <t>Date Closed</t>
  </si>
  <si>
    <t>Remarks</t>
  </si>
  <si>
    <t>FLT-0001</t>
  </si>
  <si>
    <t>nuts are on loose</t>
  </si>
  <si>
    <t>fix by supplier (lanka pc)</t>
  </si>
  <si>
    <t>Closed</t>
  </si>
  <si>
    <t>Item Code</t>
  </si>
  <si>
    <t>Item</t>
  </si>
  <si>
    <t>Qty Received</t>
  </si>
  <si>
    <t>Qty Issued</t>
  </si>
  <si>
    <t>In Stock</t>
  </si>
  <si>
    <t>Reorder Level</t>
  </si>
  <si>
    <t>Reorder?</t>
  </si>
  <si>
    <t>MOU-0001</t>
  </si>
  <si>
    <t>Tag Prefix</t>
  </si>
  <si>
    <t>Next Free Tag</t>
  </si>
  <si>
    <t>Fault Status</t>
  </si>
  <si>
    <t>How to edit</t>
  </si>
  <si>
    <t>LAP</t>
  </si>
  <si>
    <t>New</t>
  </si>
  <si>
    <t>HR</t>
  </si>
  <si>
    <t>Received (New)</t>
  </si>
  <si>
    <t>Open</t>
  </si>
  <si>
    <t>Type a new value at the bottom of a list — it appears in the dropdowns straight away.</t>
  </si>
  <si>
    <t>Desktop</t>
  </si>
  <si>
    <t>DSK</t>
  </si>
  <si>
    <t>Spare</t>
  </si>
  <si>
    <t>Sales</t>
  </si>
  <si>
    <t>In Progress</t>
  </si>
  <si>
    <t>No blank cells inside a list: a gap ends the dropdown there.</t>
  </si>
  <si>
    <t>Monitor</t>
  </si>
  <si>
    <t>MON</t>
  </si>
  <si>
    <t>Under Repair</t>
  </si>
  <si>
    <t>Fair</t>
  </si>
  <si>
    <t>Retention</t>
  </si>
  <si>
    <t>Returned</t>
  </si>
  <si>
    <t>With Vendor</t>
  </si>
  <si>
    <t>New category? Add its 3-letter prefix in column B too.</t>
  </si>
  <si>
    <t>HST</t>
  </si>
  <si>
    <t>Faulty</t>
  </si>
  <si>
    <t>Poor</t>
  </si>
  <si>
    <t>Reassigned</t>
  </si>
  <si>
    <t>Next Free Tag = the tag to print for the next item of that category.</t>
  </si>
  <si>
    <t>Keyboard</t>
  </si>
  <si>
    <t>KBD</t>
  </si>
  <si>
    <t>Lost / Stolen</t>
  </si>
  <si>
    <t>Damaged</t>
  </si>
  <si>
    <t>Location Changed</t>
  </si>
  <si>
    <t>MOU</t>
  </si>
  <si>
    <t>Retired</t>
  </si>
  <si>
    <t>Sent for Repair</t>
  </si>
  <si>
    <t>Webcam</t>
  </si>
  <si>
    <t>CAM</t>
  </si>
  <si>
    <t>Disposed</t>
  </si>
  <si>
    <t>Back from Repair</t>
  </si>
  <si>
    <t>Docking Station</t>
  </si>
  <si>
    <t>DOC</t>
  </si>
  <si>
    <t>Upgraded</t>
  </si>
  <si>
    <t>Printer</t>
  </si>
  <si>
    <t>PRN</t>
  </si>
  <si>
    <t>Part Replaced</t>
  </si>
  <si>
    <t>Scanner</t>
  </si>
  <si>
    <t>SCN</t>
  </si>
  <si>
    <t>OS Reinstalled</t>
  </si>
  <si>
    <t>Router</t>
  </si>
  <si>
    <t>RTR</t>
  </si>
  <si>
    <t>Switch</t>
  </si>
  <si>
    <t>SWT</t>
  </si>
  <si>
    <t>Firewall</t>
  </si>
  <si>
    <t>FWL</t>
  </si>
  <si>
    <t>Access Point</t>
  </si>
  <si>
    <t>WAP</t>
  </si>
  <si>
    <t>Server / NAS</t>
  </si>
  <si>
    <t>SRV</t>
  </si>
  <si>
    <t>UPS</t>
  </si>
  <si>
    <t>IP Phone</t>
  </si>
  <si>
    <t>PHN</t>
  </si>
  <si>
    <t>Mobile Phone</t>
  </si>
  <si>
    <t>MOB</t>
  </si>
  <si>
    <t>CCTV / NVR</t>
  </si>
  <si>
    <t>CCT</t>
  </si>
  <si>
    <t>Projector</t>
  </si>
  <si>
    <t>PRJ</t>
  </si>
  <si>
    <t>External Drive</t>
  </si>
  <si>
    <t>HDD</t>
  </si>
  <si>
    <t>Other</t>
  </si>
  <si>
    <t>OTH</t>
  </si>
  <si>
    <t>PF0Y5ACQ</t>
  </si>
  <si>
    <t>NIC200115301305</t>
  </si>
  <si>
    <t>NIC200004000039</t>
  </si>
  <si>
    <t>Dhanushkar Manivannan</t>
  </si>
  <si>
    <t>H390</t>
  </si>
  <si>
    <t>Iroshan SureshKumar</t>
  </si>
  <si>
    <t>NIC200431305525</t>
  </si>
  <si>
    <t>PF117GS5</t>
  </si>
  <si>
    <t>Mohamed Mafaz Rizma</t>
  </si>
  <si>
    <t>NIC200656304304</t>
  </si>
  <si>
    <t>PF1RC6TG</t>
  </si>
  <si>
    <t>Zafirah Ramzan</t>
  </si>
  <si>
    <t>HYLYRN2</t>
  </si>
  <si>
    <t>PF1FBVGA</t>
  </si>
  <si>
    <t>K Monila Abilashini</t>
  </si>
  <si>
    <t>NIC200176333520</t>
  </si>
  <si>
    <t>NIC199967610084</t>
  </si>
  <si>
    <t>i5-8th gen / 8GB / 256GB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</si>
</sst>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b/>
      <sz val="10"/>
      <name val="Arial"/>
      <charset val="1"/>
    </font>
    <font>
      <sz val="10"/>
      <color rgb="FFFFFFFF"/>
      <name val="Arial"/>
      <charset val="1"/>
    </font>
    <font>
      <sz val="10"/>
      <color rgb="FF9C0006"/>
      <name val="Arial"/>
      <charset val="1"/>
    </font>
    <font>
      <sz val="10"/>
      <color rgb="FF9C5700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44546A"/>
        <bgColor rgb="FF1F3864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0" borderId="0" xfId="0" applyFont="1"/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3" fontId="2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1" xfId="0" applyFont="1" applyFill="1" applyBorder="1"/>
    <xf numFmtId="0" fontId="2" fillId="9" borderId="1" xfId="0" applyFont="1" applyFill="1" applyBorder="1"/>
  </cellXfs>
  <cellStyles count="1">
    <cellStyle name="Normal" xfId="0" builtinId="0"/>
  </cellStyles>
  <dxfs count="13"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57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57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A6A6A6"/>
        <name val="Arial"/>
        <charset val="1"/>
      </font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4546A"/>
      <rgbColor rgb="FFA6A6A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A28"/>
  <sheetViews>
    <sheetView showGridLines="0" topLeftCell="A13" zoomScaleNormal="100" workbookViewId="0"/>
  </sheetViews>
  <sheetFormatPr defaultColWidth="8.6640625" defaultRowHeight="14.4" x14ac:dyDescent="0.3"/>
  <cols>
    <col min="1" max="1" width="110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4" t="s">
        <v>2</v>
      </c>
    </row>
    <row r="5" spans="1:1" x14ac:dyDescent="0.3">
      <c r="A5" s="4" t="s">
        <v>3</v>
      </c>
    </row>
    <row r="6" spans="1:1" x14ac:dyDescent="0.3">
      <c r="A6" s="4" t="s">
        <v>4</v>
      </c>
    </row>
    <row r="7" spans="1:1" x14ac:dyDescent="0.3">
      <c r="A7" s="4" t="s">
        <v>5</v>
      </c>
    </row>
    <row r="8" spans="1:1" x14ac:dyDescent="0.3">
      <c r="A8" s="4" t="s">
        <v>6</v>
      </c>
    </row>
    <row r="9" spans="1:1" x14ac:dyDescent="0.3">
      <c r="A9" s="4" t="s">
        <v>7</v>
      </c>
    </row>
    <row r="10" spans="1:1" x14ac:dyDescent="0.3">
      <c r="A10" s="2"/>
    </row>
    <row r="11" spans="1:1" x14ac:dyDescent="0.3">
      <c r="A11" s="3" t="s">
        <v>8</v>
      </c>
    </row>
    <row r="12" spans="1:1" x14ac:dyDescent="0.3">
      <c r="A12" s="2" t="s">
        <v>9</v>
      </c>
    </row>
    <row r="13" spans="1:1" x14ac:dyDescent="0.3">
      <c r="A13" s="2" t="s">
        <v>10</v>
      </c>
    </row>
    <row r="14" spans="1:1" x14ac:dyDescent="0.3">
      <c r="A14" s="2" t="s">
        <v>11</v>
      </c>
    </row>
    <row r="15" spans="1:1" x14ac:dyDescent="0.3">
      <c r="A15" s="2" t="s">
        <v>12</v>
      </c>
    </row>
    <row r="16" spans="1:1" x14ac:dyDescent="0.3">
      <c r="A16" s="2"/>
    </row>
    <row r="17" spans="1:1" x14ac:dyDescent="0.3">
      <c r="A17" s="3" t="s">
        <v>13</v>
      </c>
    </row>
    <row r="18" spans="1:1" x14ac:dyDescent="0.3">
      <c r="A18" s="2" t="s">
        <v>14</v>
      </c>
    </row>
    <row r="19" spans="1:1" x14ac:dyDescent="0.3">
      <c r="A19" s="2" t="s">
        <v>15</v>
      </c>
    </row>
    <row r="20" spans="1:1" x14ac:dyDescent="0.3">
      <c r="A20" s="2" t="s">
        <v>16</v>
      </c>
    </row>
    <row r="21" spans="1:1" x14ac:dyDescent="0.3">
      <c r="A21" s="2" t="s">
        <v>17</v>
      </c>
    </row>
    <row r="22" spans="1:1" x14ac:dyDescent="0.3">
      <c r="A22" s="2" t="s">
        <v>18</v>
      </c>
    </row>
    <row r="23" spans="1:1" x14ac:dyDescent="0.3">
      <c r="A23" s="2"/>
    </row>
    <row r="24" spans="1:1" x14ac:dyDescent="0.3">
      <c r="A24" s="3" t="s">
        <v>19</v>
      </c>
    </row>
    <row r="25" spans="1:1" x14ac:dyDescent="0.3">
      <c r="A25" s="5" t="s">
        <v>20</v>
      </c>
    </row>
    <row r="26" spans="1:1" x14ac:dyDescent="0.3">
      <c r="A26" s="6" t="s">
        <v>21</v>
      </c>
    </row>
    <row r="27" spans="1:1" x14ac:dyDescent="0.3">
      <c r="A27" s="7" t="s">
        <v>22</v>
      </c>
    </row>
    <row r="28" spans="1:1" x14ac:dyDescent="0.3">
      <c r="A28" s="8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E37"/>
  <sheetViews>
    <sheetView showGridLines="0" zoomScaleNormal="100" workbookViewId="0">
      <selection activeCell="E10" sqref="E10"/>
    </sheetView>
  </sheetViews>
  <sheetFormatPr defaultColWidth="8.6640625" defaultRowHeight="14.4" x14ac:dyDescent="0.3"/>
  <cols>
    <col min="1" max="1" width="34" customWidth="1"/>
    <col min="2" max="2" width="14" customWidth="1"/>
    <col min="3" max="3" width="4" customWidth="1"/>
    <col min="4" max="4" width="22" customWidth="1"/>
    <col min="5" max="5" width="12" customWidth="1"/>
  </cols>
  <sheetData>
    <row r="1" spans="1:5" ht="17.399999999999999" x14ac:dyDescent="0.3">
      <c r="A1" s="1" t="s">
        <v>24</v>
      </c>
    </row>
    <row r="2" spans="1:5" x14ac:dyDescent="0.3">
      <c r="A2" s="9" t="s">
        <v>25</v>
      </c>
    </row>
    <row r="4" spans="1:5" x14ac:dyDescent="0.3">
      <c r="A4" s="3" t="s">
        <v>26</v>
      </c>
      <c r="D4" s="3" t="s">
        <v>27</v>
      </c>
    </row>
    <row r="5" spans="1:5" x14ac:dyDescent="0.3">
      <c r="A5" s="10" t="s">
        <v>28</v>
      </c>
      <c r="B5" s="11">
        <f>COUNTIF('Fault Log'!$I:$I,"Open")+COUNTIF('Fault Log'!$I:$I,"In Progress")+COUNTIF('Fault Log'!$I:$I,"With Vendor")</f>
        <v>0</v>
      </c>
      <c r="D5" s="12" t="str">
        <f>IF(Lists!$A$2="","",Lists!$A$2)</f>
        <v>Laptop</v>
      </c>
      <c r="E5" s="11">
        <f>IF(D5="","",COUNTIFS('Asset Register'!$B:$B,D5,'Asset Register'!$F:$F,"&lt;&gt;Retired",'Asset Register'!$F:$F,"&lt;&gt;Disposed"))</f>
        <v>6</v>
      </c>
    </row>
    <row r="6" spans="1:5" x14ac:dyDescent="0.3">
      <c r="A6" s="10" t="s">
        <v>29</v>
      </c>
      <c r="B6" s="11">
        <f>COUNTIFS('Asset Register'!$F:$F,"In Use",'Asset Register'!$H:$H,"")</f>
        <v>0</v>
      </c>
      <c r="D6" s="12" t="str">
        <f>IF(Lists!$A$3="","",Lists!$A$3)</f>
        <v>Desktop</v>
      </c>
      <c r="E6" s="11">
        <f>IF(D6="","",COUNTIFS('Asset Register'!$B:$B,D6,'Asset Register'!$F:$F,"&lt;&gt;Retired",'Asset Register'!$F:$F,"&lt;&gt;Disposed"))</f>
        <v>0</v>
      </c>
    </row>
    <row r="7" spans="1:5" x14ac:dyDescent="0.3">
      <c r="A7" s="10" t="s">
        <v>30</v>
      </c>
      <c r="B7" s="11">
        <f>COUNTIF('Asset Register'!$F:$F,"Faulty")+COUNTIF('Asset Register'!$F:$F,"Under Repair")</f>
        <v>0</v>
      </c>
      <c r="D7" s="12" t="str">
        <f>IF(Lists!$A$4="","",Lists!$A$4)</f>
        <v>Monitor</v>
      </c>
      <c r="E7" s="11">
        <f>IF(D7="","",COUNTIFS('Asset Register'!$B:$B,D7,'Asset Register'!$F:$F,"&lt;&gt;Retired",'Asset Register'!$F:$F,"&lt;&gt;Disposed"))</f>
        <v>0</v>
      </c>
    </row>
    <row r="8" spans="1:5" x14ac:dyDescent="0.3">
      <c r="A8" s="10" t="s">
        <v>31</v>
      </c>
      <c r="B8" s="11">
        <f>COUNTIF('Asset Register'!$F:$F,"Lost / Stolen")</f>
        <v>0</v>
      </c>
      <c r="D8" s="12" t="str">
        <f>IF(Lists!$A$5="","",Lists!$A$5)</f>
        <v>Headset</v>
      </c>
      <c r="E8" s="11">
        <f>IF(D8="","",COUNTIFS('Asset Register'!$B:$B,D8,'Asset Register'!$F:$F,"&lt;&gt;Retired",'Asset Register'!$F:$F,"&lt;&gt;Disposed"))</f>
        <v>5</v>
      </c>
    </row>
    <row r="9" spans="1:5" x14ac:dyDescent="0.3">
      <c r="A9" s="10" t="s">
        <v>32</v>
      </c>
      <c r="B9" s="11">
        <f>COUNTIF(Consumables!$G:$G,"REORDER")</f>
        <v>1</v>
      </c>
      <c r="D9" s="12" t="str">
        <f>IF(Lists!$A$6="","",Lists!$A$6)</f>
        <v>Keyboard</v>
      </c>
      <c r="E9" s="11">
        <f>IF(D9="","",COUNTIFS('Asset Register'!$B:$B,D9,'Asset Register'!$F:$F,"&lt;&gt;Retired",'Asset Register'!$F:$F,"&lt;&gt;Disposed"))</f>
        <v>0</v>
      </c>
    </row>
    <row r="10" spans="1:5" x14ac:dyDescent="0.3">
      <c r="D10" s="12" t="str">
        <f>IF(Lists!$A$7="","",Lists!$A$7)</f>
        <v>Mouse</v>
      </c>
      <c r="E10" s="11">
        <f>IF(D10="","",COUNTIFS('Asset Register'!$B:$B,D10,'Asset Register'!$F:$F,"&lt;&gt;Retired",'Asset Register'!$F:$F,"&lt;&gt;Disposed"))</f>
        <v>6</v>
      </c>
    </row>
    <row r="11" spans="1:5" x14ac:dyDescent="0.3">
      <c r="A11" s="3" t="s">
        <v>33</v>
      </c>
      <c r="D11" s="12" t="str">
        <f>IF(Lists!$A$8="","",Lists!$A$8)</f>
        <v>Webcam</v>
      </c>
      <c r="E11" s="11">
        <f>IF(D11="","",COUNTIFS('Asset Register'!$B:$B,D11,'Asset Register'!$F:$F,"&lt;&gt;Retired",'Asset Register'!$F:$F,"&lt;&gt;Disposed"))</f>
        <v>0</v>
      </c>
    </row>
    <row r="12" spans="1:5" x14ac:dyDescent="0.3">
      <c r="A12" s="10" t="s">
        <v>34</v>
      </c>
      <c r="B12" s="11">
        <f>COUNTA('Asset Register'!$A:$A)-1</f>
        <v>17</v>
      </c>
      <c r="D12" s="12" t="str">
        <f>IF(Lists!$A$9="","",Lists!$A$9)</f>
        <v>Docking Station</v>
      </c>
      <c r="E12" s="11">
        <f>IF(D12="","",COUNTIFS('Asset Register'!$B:$B,D12,'Asset Register'!$F:$F,"&lt;&gt;Retired",'Asset Register'!$F:$F,"&lt;&gt;Disposed"))</f>
        <v>0</v>
      </c>
    </row>
    <row r="13" spans="1:5" x14ac:dyDescent="0.3">
      <c r="A13" s="10" t="s">
        <v>35</v>
      </c>
      <c r="B13" s="11">
        <f>COUNTIFS('Asset Register'!$A:$A,"?*",'Asset Register'!$F:$F,"&lt;&gt;Retired",'Asset Register'!$F:$F,"&lt;&gt;Disposed")-1</f>
        <v>17</v>
      </c>
      <c r="D13" s="12" t="str">
        <f>IF(Lists!$A$10="","",Lists!$A$10)</f>
        <v>Printer</v>
      </c>
      <c r="E13" s="11">
        <f>IF(D13="","",COUNTIFS('Asset Register'!$B:$B,D13,'Asset Register'!$F:$F,"&lt;&gt;Retired",'Asset Register'!$F:$F,"&lt;&gt;Disposed"))</f>
        <v>0</v>
      </c>
    </row>
    <row r="14" spans="1:5" x14ac:dyDescent="0.3">
      <c r="A14" s="10" t="s">
        <v>36</v>
      </c>
      <c r="B14" s="11">
        <f>COUNTIF('Asset Register'!$F:$F,"Spare")</f>
        <v>0</v>
      </c>
      <c r="D14" s="12" t="str">
        <f>IF(Lists!$A$11="","",Lists!$A$11)</f>
        <v>Scanner</v>
      </c>
      <c r="E14" s="11">
        <f>IF(D14="","",COUNTIFS('Asset Register'!$B:$B,D14,'Asset Register'!$F:$F,"&lt;&gt;Retired",'Asset Register'!$F:$F,"&lt;&gt;Disposed"))</f>
        <v>0</v>
      </c>
    </row>
    <row r="15" spans="1:5" x14ac:dyDescent="0.3">
      <c r="A15" s="10" t="s">
        <v>37</v>
      </c>
      <c r="B15" s="13">
        <f ca="1">SUMIFS('Fault Log'!$G:$G,'Fault Log'!$H:$H,"&gt;="&amp;DATE(YEAR(TODAY()),1,1))</f>
        <v>0</v>
      </c>
      <c r="D15" s="12" t="str">
        <f>IF(Lists!$A$12="","",Lists!$A$12)</f>
        <v>Router</v>
      </c>
      <c r="E15" s="11">
        <f>IF(D15="","",COUNTIFS('Asset Register'!$B:$B,D15,'Asset Register'!$F:$F,"&lt;&gt;Retired",'Asset Register'!$F:$F,"&lt;&gt;Disposed"))</f>
        <v>0</v>
      </c>
    </row>
    <row r="16" spans="1:5" x14ac:dyDescent="0.3">
      <c r="D16" s="12" t="str">
        <f>IF(Lists!$A$13="","",Lists!$A$13)</f>
        <v>Switch</v>
      </c>
      <c r="E16" s="11">
        <f>IF(D16="","",COUNTIFS('Asset Register'!$B:$B,D16,'Asset Register'!$F:$F,"&lt;&gt;Retired",'Asset Register'!$F:$F,"&lt;&gt;Disposed"))</f>
        <v>0</v>
      </c>
    </row>
    <row r="17" spans="1:5" x14ac:dyDescent="0.3">
      <c r="A17" s="3" t="s">
        <v>38</v>
      </c>
      <c r="D17" s="12" t="str">
        <f>IF(Lists!$A$14="","",Lists!$A$14)</f>
        <v>Firewall</v>
      </c>
      <c r="E17" s="11">
        <f>IF(D17="","",COUNTIFS('Asset Register'!$B:$B,D17,'Asset Register'!$F:$F,"&lt;&gt;Retired",'Asset Register'!$F:$F,"&lt;&gt;Disposed"))</f>
        <v>0</v>
      </c>
    </row>
    <row r="18" spans="1:5" x14ac:dyDescent="0.3">
      <c r="A18" s="12" t="str">
        <f>IF(Lists!$E$2="","",Lists!$E$2)</f>
        <v>In Use</v>
      </c>
      <c r="B18" s="11">
        <f>IF(A18="","",COUNTIF('Asset Register'!$F:$F,A18))</f>
        <v>17</v>
      </c>
      <c r="D18" s="12" t="str">
        <f>IF(Lists!$A$15="","",Lists!$A$15)</f>
        <v>Access Point</v>
      </c>
      <c r="E18" s="11">
        <f>IF(D18="","",COUNTIFS('Asset Register'!$B:$B,D18,'Asset Register'!$F:$F,"&lt;&gt;Retired",'Asset Register'!$F:$F,"&lt;&gt;Disposed"))</f>
        <v>0</v>
      </c>
    </row>
    <row r="19" spans="1:5" x14ac:dyDescent="0.3">
      <c r="A19" s="12" t="str">
        <f>IF(Lists!$E$3="","",Lists!$E$3)</f>
        <v>Spare</v>
      </c>
      <c r="B19" s="11">
        <f>IF(A19="","",COUNTIF('Asset Register'!$F:$F,A19))</f>
        <v>0</v>
      </c>
      <c r="D19" s="12" t="str">
        <f>IF(Lists!$A$16="","",Lists!$A$16)</f>
        <v>Server / NAS</v>
      </c>
      <c r="E19" s="11">
        <f>IF(D19="","",COUNTIFS('Asset Register'!$B:$B,D19,'Asset Register'!$F:$F,"&lt;&gt;Retired",'Asset Register'!$F:$F,"&lt;&gt;Disposed"))</f>
        <v>0</v>
      </c>
    </row>
    <row r="20" spans="1:5" x14ac:dyDescent="0.3">
      <c r="A20" s="12" t="str">
        <f>IF(Lists!$E$4="","",Lists!$E$4)</f>
        <v>Under Repair</v>
      </c>
      <c r="B20" s="11">
        <f>IF(A20="","",COUNTIF('Asset Register'!$F:$F,A20))</f>
        <v>0</v>
      </c>
      <c r="D20" s="12" t="str">
        <f>IF(Lists!$A$17="","",Lists!$A$17)</f>
        <v>UPS</v>
      </c>
      <c r="E20" s="11">
        <f>IF(D20="","",COUNTIFS('Asset Register'!$B:$B,D20,'Asset Register'!$F:$F,"&lt;&gt;Retired",'Asset Register'!$F:$F,"&lt;&gt;Disposed"))</f>
        <v>0</v>
      </c>
    </row>
    <row r="21" spans="1:5" x14ac:dyDescent="0.3">
      <c r="A21" s="12" t="str">
        <f>IF(Lists!$E$5="","",Lists!$E$5)</f>
        <v>Faulty</v>
      </c>
      <c r="B21" s="11">
        <f>IF(A21="","",COUNTIF('Asset Register'!$F:$F,A21))</f>
        <v>0</v>
      </c>
      <c r="D21" s="12" t="str">
        <f>IF(Lists!$A$18="","",Lists!$A$18)</f>
        <v>IP Phone</v>
      </c>
      <c r="E21" s="11">
        <f>IF(D21="","",COUNTIFS('Asset Register'!$B:$B,D21,'Asset Register'!$F:$F,"&lt;&gt;Retired",'Asset Register'!$F:$F,"&lt;&gt;Disposed"))</f>
        <v>0</v>
      </c>
    </row>
    <row r="22" spans="1:5" x14ac:dyDescent="0.3">
      <c r="A22" s="12" t="str">
        <f>IF(Lists!$E$6="","",Lists!$E$6)</f>
        <v>Lost / Stolen</v>
      </c>
      <c r="B22" s="11">
        <f>IF(A22="","",COUNTIF('Asset Register'!$F:$F,A22))</f>
        <v>0</v>
      </c>
      <c r="D22" s="12" t="str">
        <f>IF(Lists!$A$19="","",Lists!$A$19)</f>
        <v>Mobile Phone</v>
      </c>
      <c r="E22" s="11">
        <f>IF(D22="","",COUNTIFS('Asset Register'!$B:$B,D22,'Asset Register'!$F:$F,"&lt;&gt;Retired",'Asset Register'!$F:$F,"&lt;&gt;Disposed"))</f>
        <v>0</v>
      </c>
    </row>
    <row r="23" spans="1:5" x14ac:dyDescent="0.3">
      <c r="A23" s="12" t="str">
        <f>IF(Lists!$E$7="","",Lists!$E$7)</f>
        <v>Retired</v>
      </c>
      <c r="B23" s="11">
        <f>IF(A23="","",COUNTIF('Asset Register'!$F:$F,A23))</f>
        <v>0</v>
      </c>
      <c r="D23" s="12" t="str">
        <f>IF(Lists!$A$20="","",Lists!$A$20)</f>
        <v>CCTV / NVR</v>
      </c>
      <c r="E23" s="11">
        <f>IF(D23="","",COUNTIFS('Asset Register'!$B:$B,D23,'Asset Register'!$F:$F,"&lt;&gt;Retired",'Asset Register'!$F:$F,"&lt;&gt;Disposed"))</f>
        <v>0</v>
      </c>
    </row>
    <row r="24" spans="1:5" x14ac:dyDescent="0.3">
      <c r="A24" s="12" t="str">
        <f>IF(Lists!$E$8="","",Lists!$E$8)</f>
        <v>Disposed</v>
      </c>
      <c r="B24" s="11">
        <f>IF(A24="","",COUNTIF('Asset Register'!$F:$F,A24))</f>
        <v>0</v>
      </c>
      <c r="D24" s="12" t="str">
        <f>IF(Lists!$A$21="","",Lists!$A$21)</f>
        <v>Projector</v>
      </c>
      <c r="E24" s="11">
        <f>IF(D24="","",COUNTIFS('Asset Register'!$B:$B,D24,'Asset Register'!$F:$F,"&lt;&gt;Retired",'Asset Register'!$F:$F,"&lt;&gt;Disposed"))</f>
        <v>0</v>
      </c>
    </row>
    <row r="25" spans="1:5" x14ac:dyDescent="0.3">
      <c r="A25" s="12" t="str">
        <f>IF(Lists!$E$9="","",Lists!$E$9)</f>
        <v/>
      </c>
      <c r="B25" s="11" t="str">
        <f>IF(A25="","",COUNTIF('Asset Register'!$F:$F,A25))</f>
        <v/>
      </c>
      <c r="D25" s="12" t="str">
        <f>IF(Lists!$A$22="","",Lists!$A$22)</f>
        <v>External Drive</v>
      </c>
      <c r="E25" s="11">
        <f>IF(D25="","",COUNTIFS('Asset Register'!$B:$B,D25,'Asset Register'!$F:$F,"&lt;&gt;Retired",'Asset Register'!$F:$F,"&lt;&gt;Disposed"))</f>
        <v>0</v>
      </c>
    </row>
    <row r="26" spans="1:5" x14ac:dyDescent="0.3">
      <c r="D26" s="12" t="str">
        <f>IF(Lists!$A$23="","",Lists!$A$23)</f>
        <v>Other</v>
      </c>
      <c r="E26" s="11">
        <f>IF(D26="","",COUNTIFS('Asset Register'!$B:$B,D26,'Asset Register'!$F:$F,"&lt;&gt;Retired",'Asset Register'!$F:$F,"&lt;&gt;Disposed"))</f>
        <v>0</v>
      </c>
    </row>
    <row r="27" spans="1:5" x14ac:dyDescent="0.3">
      <c r="A27" s="3" t="s">
        <v>39</v>
      </c>
      <c r="D27" s="12" t="str">
        <f>IF(Lists!$A$24="","",Lists!$A$24)</f>
        <v/>
      </c>
      <c r="E27" s="11" t="str">
        <f>IF(D27="","",COUNTIFS('Asset Register'!$B:$B,D27,'Asset Register'!$F:$F,"&lt;&gt;Retired",'Asset Register'!$F:$F,"&lt;&gt;Disposed"))</f>
        <v/>
      </c>
    </row>
    <row r="28" spans="1:5" x14ac:dyDescent="0.3">
      <c r="A28" s="12" t="str">
        <f>IF(Lists!$G$2="","",Lists!$G$2)</f>
        <v>HR</v>
      </c>
      <c r="B28" s="11">
        <f>IF(A28="","",COUNTIFS('Asset Register'!$J:$J,A28,'Asset Register'!$F:$F,"&lt;&gt;Retired",'Asset Register'!$F:$F,"&lt;&gt;Disposed"))</f>
        <v>0</v>
      </c>
      <c r="D28" s="12" t="str">
        <f>IF(Lists!$A$25="","",Lists!$A$25)</f>
        <v/>
      </c>
      <c r="E28" s="11" t="str">
        <f>IF(D28="","",COUNTIFS('Asset Register'!$B:$B,D28,'Asset Register'!$F:$F,"&lt;&gt;Retired",'Asset Register'!$F:$F,"&lt;&gt;Disposed"))</f>
        <v/>
      </c>
    </row>
    <row r="29" spans="1:5" x14ac:dyDescent="0.3">
      <c r="A29" s="12" t="str">
        <f>IF(Lists!$G$3="","",Lists!$G$3)</f>
        <v>Sales</v>
      </c>
      <c r="B29" s="11">
        <f>IF(A29="","",COUNTIFS('Asset Register'!$J:$J,A29,'Asset Register'!$F:$F,"&lt;&gt;Retired",'Asset Register'!$F:$F,"&lt;&gt;Disposed"))</f>
        <v>0</v>
      </c>
      <c r="D29" s="12" t="str">
        <f>IF(Lists!$A$26="","",Lists!$A$26)</f>
        <v/>
      </c>
      <c r="E29" s="11" t="str">
        <f>IF(D29="","",COUNTIFS('Asset Register'!$B:$B,D29,'Asset Register'!$F:$F,"&lt;&gt;Retired",'Asset Register'!$F:$F,"&lt;&gt;Disposed"))</f>
        <v/>
      </c>
    </row>
    <row r="30" spans="1:5" x14ac:dyDescent="0.3">
      <c r="A30" s="12" t="str">
        <f>IF(Lists!$G$4="","",Lists!$G$4)</f>
        <v>Retention</v>
      </c>
      <c r="B30" s="11">
        <f>IF(A30="","",COUNTIFS('Asset Register'!$J:$J,A30,'Asset Register'!$F:$F,"&lt;&gt;Retired",'Asset Register'!$F:$F,"&lt;&gt;Disposed"))</f>
        <v>0</v>
      </c>
      <c r="D30" s="12" t="str">
        <f>IF(Lists!$A$27="","",Lists!$A$27)</f>
        <v/>
      </c>
      <c r="E30" s="11" t="str">
        <f>IF(D30="","",COUNTIFS('Asset Register'!$B:$B,D30,'Asset Register'!$F:$F,"&lt;&gt;Retired",'Asset Register'!$F:$F,"&lt;&gt;Disposed"))</f>
        <v/>
      </c>
    </row>
    <row r="31" spans="1:5" x14ac:dyDescent="0.3">
      <c r="A31" s="12" t="str">
        <f>IF(Lists!$G$5="","",Lists!$G$5)</f>
        <v>Travel</v>
      </c>
      <c r="B31" s="11">
        <f>IF(A31="","",COUNTIFS('Asset Register'!$J:$J,A31,'Asset Register'!$F:$F,"&lt;&gt;Retired",'Asset Register'!$F:$F,"&lt;&gt;Disposed"))</f>
        <v>15</v>
      </c>
    </row>
    <row r="32" spans="1:5" x14ac:dyDescent="0.3">
      <c r="A32" s="12" t="str">
        <f>IF(Lists!$G$6="","",Lists!$G$6)</f>
        <v>IT</v>
      </c>
      <c r="B32" s="11">
        <f>IF(A32="","",COUNTIFS('Asset Register'!$J:$J,A32,'Asset Register'!$F:$F,"&lt;&gt;Retired",'Asset Register'!$F:$F,"&lt;&gt;Disposed"))</f>
        <v>2</v>
      </c>
      <c r="D32" s="3" t="s">
        <v>40</v>
      </c>
    </row>
    <row r="33" spans="1:5" x14ac:dyDescent="0.3">
      <c r="A33" s="12" t="str">
        <f>IF(Lists!$G$7="","",Lists!$G$7)</f>
        <v/>
      </c>
      <c r="B33" s="11" t="str">
        <f>IF(A33="","",COUNTIFS('Asset Register'!$J:$J,A33,'Asset Register'!$F:$F,"&lt;&gt;Retired",'Asset Register'!$F:$F,"&lt;&gt;Disposed"))</f>
        <v/>
      </c>
      <c r="D33" s="12" t="str">
        <f>IF(Lists!$I$2="","",Lists!$I$2)</f>
        <v>Open</v>
      </c>
      <c r="E33" s="11">
        <f>IF(D33="","",COUNTIF('Fault Log'!$I:$I,D33))</f>
        <v>0</v>
      </c>
    </row>
    <row r="34" spans="1:5" x14ac:dyDescent="0.3">
      <c r="A34" s="12" t="str">
        <f>IF(Lists!$G$8="","",Lists!$G$8)</f>
        <v/>
      </c>
      <c r="B34" s="11" t="str">
        <f>IF(A34="","",COUNTIFS('Asset Register'!$J:$J,A34,'Asset Register'!$F:$F,"&lt;&gt;Retired",'Asset Register'!$F:$F,"&lt;&gt;Disposed"))</f>
        <v/>
      </c>
      <c r="D34" s="12" t="str">
        <f>IF(Lists!$I$3="","",Lists!$I$3)</f>
        <v>In Progress</v>
      </c>
      <c r="E34" s="11">
        <f>IF(D34="","",COUNTIF('Fault Log'!$I:$I,D34))</f>
        <v>0</v>
      </c>
    </row>
    <row r="35" spans="1:5" x14ac:dyDescent="0.3">
      <c r="A35" s="12" t="str">
        <f>IF(Lists!$G$9="","",Lists!$G$9)</f>
        <v/>
      </c>
      <c r="B35" s="11" t="str">
        <f>IF(A35="","",COUNTIFS('Asset Register'!$J:$J,A35,'Asset Register'!$F:$F,"&lt;&gt;Retired",'Asset Register'!$F:$F,"&lt;&gt;Disposed"))</f>
        <v/>
      </c>
      <c r="D35" s="12" t="str">
        <f>IF(Lists!$I$4="","",Lists!$I$4)</f>
        <v>With Vendor</v>
      </c>
      <c r="E35" s="11">
        <f>IF(D35="","",COUNTIF('Fault Log'!$I:$I,D35))</f>
        <v>0</v>
      </c>
    </row>
    <row r="36" spans="1:5" x14ac:dyDescent="0.3">
      <c r="D36" s="12" t="str">
        <f>IF(Lists!$I$5="","",Lists!$I$5)</f>
        <v>Closed</v>
      </c>
      <c r="E36" s="11">
        <f>IF(D36="","",COUNTIF('Fault Log'!$I:$I,D36))</f>
        <v>1</v>
      </c>
    </row>
    <row r="37" spans="1:5" x14ac:dyDescent="0.3">
      <c r="D37" s="12" t="str">
        <f>IF(Lists!$I$6="","",Lists!$I$6)</f>
        <v/>
      </c>
      <c r="E37" s="11" t="str">
        <f>IF(D37="","",COUNTIF('Fault Log'!$I:$I,D37))</f>
        <v/>
      </c>
    </row>
  </sheetData>
  <conditionalFormatting sqref="B5:B9">
    <cfRule type="cellIs" dxfId="12" priority="2" operator="greaterThan">
      <formula>0</formula>
    </cfRule>
    <cfRule type="cellIs" dxfId="11" priority="3" operator="equal">
      <formula>0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  <pageSetUpPr fitToPage="1"/>
  </sheetPr>
  <dimension ref="A1:P50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" sqref="E3"/>
    </sheetView>
  </sheetViews>
  <sheetFormatPr defaultColWidth="8.6640625" defaultRowHeight="14.4" x14ac:dyDescent="0.3"/>
  <cols>
    <col min="1" max="2" width="14" customWidth="1"/>
    <col min="3" max="3" width="12" customWidth="1"/>
    <col min="4" max="5" width="18" customWidth="1"/>
    <col min="6" max="6" width="13" customWidth="1"/>
    <col min="7" max="7" width="11" customWidth="1"/>
    <col min="8" max="8" width="20" customWidth="1"/>
    <col min="9" max="9" width="17" customWidth="1"/>
    <col min="10" max="10" width="13" customWidth="1"/>
    <col min="11" max="11" width="22" customWidth="1"/>
    <col min="12" max="12" width="12" customWidth="1"/>
    <col min="13" max="13" width="26" customWidth="1"/>
    <col min="14" max="14" width="30" customWidth="1"/>
    <col min="15" max="16" width="9" customWidth="1"/>
  </cols>
  <sheetData>
    <row r="1" spans="1:16" ht="31.5" customHeight="1" x14ac:dyDescent="0.3">
      <c r="A1" s="14" t="s">
        <v>41</v>
      </c>
      <c r="B1" s="14" t="s">
        <v>42</v>
      </c>
      <c r="C1" s="14" t="s">
        <v>43</v>
      </c>
      <c r="D1" s="14" t="s">
        <v>44</v>
      </c>
      <c r="E1" s="14" t="s">
        <v>45</v>
      </c>
      <c r="F1" s="14" t="s">
        <v>46</v>
      </c>
      <c r="G1" s="14" t="s">
        <v>47</v>
      </c>
      <c r="H1" s="14" t="s">
        <v>48</v>
      </c>
      <c r="I1" s="14" t="s">
        <v>49</v>
      </c>
      <c r="J1" s="14" t="s">
        <v>50</v>
      </c>
      <c r="K1" s="14" t="s">
        <v>51</v>
      </c>
      <c r="L1" s="14" t="s">
        <v>52</v>
      </c>
      <c r="M1" s="14" t="s">
        <v>53</v>
      </c>
      <c r="N1" s="14" t="s">
        <v>54</v>
      </c>
      <c r="O1" s="15" t="s">
        <v>55</v>
      </c>
      <c r="P1" s="15" t="s">
        <v>56</v>
      </c>
    </row>
    <row r="2" spans="1:16" x14ac:dyDescent="0.3">
      <c r="A2" s="10" t="s">
        <v>57</v>
      </c>
      <c r="B2" s="10" t="s">
        <v>58</v>
      </c>
      <c r="C2" s="10" t="s">
        <v>59</v>
      </c>
      <c r="D2" s="10" t="s">
        <v>60</v>
      </c>
      <c r="E2" s="10" t="s">
        <v>61</v>
      </c>
      <c r="F2" s="10" t="s">
        <v>62</v>
      </c>
      <c r="G2" s="10" t="s">
        <v>63</v>
      </c>
      <c r="H2" s="10" t="s">
        <v>64</v>
      </c>
      <c r="I2" s="10" t="s">
        <v>228</v>
      </c>
      <c r="J2" s="10" t="s">
        <v>65</v>
      </c>
      <c r="K2" s="10" t="s">
        <v>66</v>
      </c>
      <c r="L2" s="16">
        <v>46296</v>
      </c>
      <c r="M2" s="10" t="s">
        <v>67</v>
      </c>
      <c r="N2" s="10" t="s">
        <v>68</v>
      </c>
      <c r="O2" s="17">
        <f>IF($A2="","",COUNTIF('Fault Log'!$B:$B,$A2)-COUNTIFS('Fault Log'!$B:$B,$A2,'Fault Log'!$I:$I,"Closed"))</f>
        <v>0</v>
      </c>
      <c r="P2" s="17">
        <f>IF($A2="","",COUNTIF('Fault Log'!$B:$B,$A2))</f>
        <v>1</v>
      </c>
    </row>
    <row r="3" spans="1:16" x14ac:dyDescent="0.3">
      <c r="A3" s="10" t="s">
        <v>69</v>
      </c>
      <c r="B3" s="10" t="s">
        <v>70</v>
      </c>
      <c r="C3" s="10" t="s">
        <v>59</v>
      </c>
      <c r="D3" s="10" t="s">
        <v>71</v>
      </c>
      <c r="E3" s="10"/>
      <c r="F3" s="10" t="s">
        <v>62</v>
      </c>
      <c r="G3" s="10" t="s">
        <v>63</v>
      </c>
      <c r="H3" s="10" t="s">
        <v>64</v>
      </c>
      <c r="I3" s="10" t="s">
        <v>228</v>
      </c>
      <c r="J3" s="10" t="s">
        <v>65</v>
      </c>
      <c r="K3" s="10" t="s">
        <v>66</v>
      </c>
      <c r="L3" s="16">
        <v>46296</v>
      </c>
      <c r="M3" s="10" t="s">
        <v>72</v>
      </c>
      <c r="N3" s="10"/>
      <c r="O3" s="17">
        <f>IF($A3="","",COUNTIF('Fault Log'!$B:$B,$A3)-COUNTIFS('Fault Log'!$B:$B,$A3,'Fault Log'!$I:$I,"Closed"))</f>
        <v>0</v>
      </c>
      <c r="P3" s="17">
        <f>IF($A3="","",COUNTIF('Fault Log'!$B:$B,$A3))</f>
        <v>0</v>
      </c>
    </row>
    <row r="4" spans="1:16" x14ac:dyDescent="0.3">
      <c r="A4" s="10" t="s">
        <v>73</v>
      </c>
      <c r="B4" s="10" t="s">
        <v>58</v>
      </c>
      <c r="C4" s="10" t="s">
        <v>74</v>
      </c>
      <c r="D4" s="10" t="s">
        <v>75</v>
      </c>
      <c r="E4" s="24" t="s">
        <v>227</v>
      </c>
      <c r="F4" s="10" t="s">
        <v>62</v>
      </c>
      <c r="G4" s="24" t="s">
        <v>63</v>
      </c>
      <c r="H4" s="24" t="s">
        <v>230</v>
      </c>
      <c r="I4" s="24" t="s">
        <v>229</v>
      </c>
      <c r="J4" s="10" t="s">
        <v>77</v>
      </c>
      <c r="K4" s="24" t="s">
        <v>78</v>
      </c>
      <c r="L4" s="16">
        <v>46239</v>
      </c>
      <c r="M4" s="24" t="s">
        <v>79</v>
      </c>
      <c r="N4" s="10" t="s">
        <v>80</v>
      </c>
      <c r="O4" s="17">
        <f>IF($A4="","",COUNTIF('Fault Log'!$B:$B,$A4)-COUNTIFS('Fault Log'!$B:$B,$A4,'Fault Log'!$I:$I,"Closed"))</f>
        <v>0</v>
      </c>
      <c r="P4" s="17">
        <f>IF($A4="","",COUNTIF('Fault Log'!$B:$B,$A4))</f>
        <v>0</v>
      </c>
    </row>
    <row r="5" spans="1:16" x14ac:dyDescent="0.3">
      <c r="A5" s="10" t="s">
        <v>81</v>
      </c>
      <c r="B5" s="10" t="s">
        <v>70</v>
      </c>
      <c r="C5" s="10" t="s">
        <v>59</v>
      </c>
      <c r="D5" s="10" t="s">
        <v>71</v>
      </c>
      <c r="E5" s="24"/>
      <c r="F5" s="10" t="s">
        <v>62</v>
      </c>
      <c r="G5" s="24" t="s">
        <v>63</v>
      </c>
      <c r="H5" s="24" t="s">
        <v>230</v>
      </c>
      <c r="I5" s="24" t="s">
        <v>229</v>
      </c>
      <c r="J5" s="10" t="s">
        <v>77</v>
      </c>
      <c r="K5" s="24" t="s">
        <v>78</v>
      </c>
      <c r="L5" s="16">
        <v>46239</v>
      </c>
      <c r="M5" s="25" t="s">
        <v>72</v>
      </c>
      <c r="N5" s="10"/>
      <c r="O5" s="17">
        <f>IF($A5="","",COUNTIF('Fault Log'!$B:$B,$A5)-COUNTIFS('Fault Log'!$B:$B,$A5,'Fault Log'!$I:$I,"Closed"))</f>
        <v>0</v>
      </c>
      <c r="P5" s="17">
        <f>IF($A5="","",COUNTIF('Fault Log'!$B:$B,$A5))</f>
        <v>0</v>
      </c>
    </row>
    <row r="6" spans="1:16" x14ac:dyDescent="0.3">
      <c r="A6" s="10" t="s">
        <v>82</v>
      </c>
      <c r="B6" s="10" t="s">
        <v>83</v>
      </c>
      <c r="C6" s="10" t="s">
        <v>84</v>
      </c>
      <c r="D6" s="24" t="s">
        <v>231</v>
      </c>
      <c r="E6" s="24"/>
      <c r="F6" s="10" t="s">
        <v>62</v>
      </c>
      <c r="G6" s="24" t="s">
        <v>63</v>
      </c>
      <c r="H6" s="24" t="s">
        <v>230</v>
      </c>
      <c r="I6" s="24" t="s">
        <v>229</v>
      </c>
      <c r="J6" s="10" t="s">
        <v>77</v>
      </c>
      <c r="K6" s="24" t="s">
        <v>78</v>
      </c>
      <c r="L6" s="16">
        <v>46239</v>
      </c>
      <c r="M6" s="25"/>
      <c r="N6" s="10"/>
      <c r="O6" s="17">
        <f>IF($A6="","",COUNTIF('Fault Log'!$B:$B,$A6)-COUNTIFS('Fault Log'!$B:$B,$A6,'Fault Log'!$I:$I,"Closed"))</f>
        <v>0</v>
      </c>
      <c r="P6" s="17">
        <f>IF($A6="","",COUNTIF('Fault Log'!$B:$B,$A6))</f>
        <v>0</v>
      </c>
    </row>
    <row r="7" spans="1:16" x14ac:dyDescent="0.3">
      <c r="A7" s="10" t="s">
        <v>86</v>
      </c>
      <c r="B7" s="10" t="s">
        <v>58</v>
      </c>
      <c r="C7" s="10" t="s">
        <v>74</v>
      </c>
      <c r="D7" s="25" t="s">
        <v>75</v>
      </c>
      <c r="E7" s="24" t="s">
        <v>234</v>
      </c>
      <c r="F7" s="10" t="s">
        <v>62</v>
      </c>
      <c r="G7" s="24" t="s">
        <v>63</v>
      </c>
      <c r="H7" s="24" t="s">
        <v>232</v>
      </c>
      <c r="I7" s="24" t="s">
        <v>233</v>
      </c>
      <c r="J7" s="10" t="s">
        <v>77</v>
      </c>
      <c r="K7" s="24" t="s">
        <v>88</v>
      </c>
      <c r="L7" s="16">
        <v>46239</v>
      </c>
      <c r="M7" s="24" t="s">
        <v>79</v>
      </c>
      <c r="N7" s="10" t="s">
        <v>80</v>
      </c>
      <c r="O7" s="17">
        <f>IF($A7="","",COUNTIF('Fault Log'!$B:$B,$A7)-COUNTIFS('Fault Log'!$B:$B,$A7,'Fault Log'!$I:$I,"Closed"))</f>
        <v>0</v>
      </c>
      <c r="P7" s="17">
        <f>IF($A7="","",COUNTIF('Fault Log'!$B:$B,$A7))</f>
        <v>0</v>
      </c>
    </row>
    <row r="8" spans="1:16" x14ac:dyDescent="0.3">
      <c r="A8" s="10" t="s">
        <v>89</v>
      </c>
      <c r="B8" s="10" t="s">
        <v>70</v>
      </c>
      <c r="C8" s="10" t="s">
        <v>59</v>
      </c>
      <c r="D8" s="25" t="s">
        <v>71</v>
      </c>
      <c r="E8" s="24"/>
      <c r="F8" s="10" t="s">
        <v>62</v>
      </c>
      <c r="G8" s="24" t="s">
        <v>63</v>
      </c>
      <c r="H8" s="24" t="s">
        <v>232</v>
      </c>
      <c r="I8" s="24" t="s">
        <v>233</v>
      </c>
      <c r="J8" s="10" t="s">
        <v>77</v>
      </c>
      <c r="K8" s="24" t="s">
        <v>88</v>
      </c>
      <c r="L8" s="16">
        <v>46239</v>
      </c>
      <c r="M8" s="25" t="s">
        <v>72</v>
      </c>
      <c r="N8" s="10"/>
      <c r="O8" s="17">
        <f>IF($A8="","",COUNTIF('Fault Log'!$B:$B,$A8)-COUNTIFS('Fault Log'!$B:$B,$A8,'Fault Log'!$I:$I,"Closed"))</f>
        <v>0</v>
      </c>
      <c r="P8" s="17">
        <f>IF($A8="","",COUNTIF('Fault Log'!$B:$B,$A8))</f>
        <v>0</v>
      </c>
    </row>
    <row r="9" spans="1:16" x14ac:dyDescent="0.3">
      <c r="A9" s="10" t="s">
        <v>90</v>
      </c>
      <c r="B9" s="10" t="s">
        <v>83</v>
      </c>
      <c r="C9" s="10" t="s">
        <v>84</v>
      </c>
      <c r="D9" s="24" t="s">
        <v>85</v>
      </c>
      <c r="E9" s="24"/>
      <c r="F9" s="10" t="s">
        <v>62</v>
      </c>
      <c r="G9" s="24" t="s">
        <v>63</v>
      </c>
      <c r="H9" s="24" t="s">
        <v>232</v>
      </c>
      <c r="I9" s="24" t="s">
        <v>233</v>
      </c>
      <c r="J9" s="10" t="s">
        <v>77</v>
      </c>
      <c r="K9" s="24" t="s">
        <v>88</v>
      </c>
      <c r="L9" s="16">
        <v>46239</v>
      </c>
      <c r="M9" s="25"/>
      <c r="N9" s="10"/>
      <c r="O9" s="17">
        <f>IF($A9="","",COUNTIF('Fault Log'!$B:$B,$A9)-COUNTIFS('Fault Log'!$B:$B,$A9,'Fault Log'!$I:$I,"Closed"))</f>
        <v>0</v>
      </c>
      <c r="P9" s="17">
        <f>IF($A9="","",COUNTIF('Fault Log'!$B:$B,$A9))</f>
        <v>0</v>
      </c>
    </row>
    <row r="10" spans="1:16" x14ac:dyDescent="0.3">
      <c r="A10" s="10" t="s">
        <v>91</v>
      </c>
      <c r="B10" s="10" t="s">
        <v>58</v>
      </c>
      <c r="C10" s="10" t="s">
        <v>74</v>
      </c>
      <c r="D10" s="25" t="s">
        <v>75</v>
      </c>
      <c r="E10" s="24" t="s">
        <v>237</v>
      </c>
      <c r="F10" s="10" t="s">
        <v>62</v>
      </c>
      <c r="G10" s="24" t="s">
        <v>63</v>
      </c>
      <c r="H10" s="24" t="s">
        <v>235</v>
      </c>
      <c r="I10" s="24" t="s">
        <v>236</v>
      </c>
      <c r="J10" s="10" t="s">
        <v>77</v>
      </c>
      <c r="K10" s="24" t="s">
        <v>93</v>
      </c>
      <c r="L10" s="16">
        <v>46239</v>
      </c>
      <c r="M10" s="24" t="s">
        <v>244</v>
      </c>
      <c r="N10" s="10" t="s">
        <v>80</v>
      </c>
      <c r="O10" s="17">
        <f>IF($A10="","",COUNTIF('Fault Log'!$B:$B,$A10)-COUNTIFS('Fault Log'!$B:$B,$A10,'Fault Log'!$I:$I,"Closed"))</f>
        <v>0</v>
      </c>
      <c r="P10" s="17">
        <f>IF($A10="","",COUNTIF('Fault Log'!$B:$B,$A10))</f>
        <v>0</v>
      </c>
    </row>
    <row r="11" spans="1:16" x14ac:dyDescent="0.3">
      <c r="A11" s="10" t="s">
        <v>94</v>
      </c>
      <c r="B11" s="10" t="s">
        <v>70</v>
      </c>
      <c r="C11" s="10" t="s">
        <v>59</v>
      </c>
      <c r="D11" s="25" t="s">
        <v>71</v>
      </c>
      <c r="E11" s="24"/>
      <c r="F11" s="10" t="s">
        <v>62</v>
      </c>
      <c r="G11" s="24" t="s">
        <v>63</v>
      </c>
      <c r="H11" s="24" t="s">
        <v>235</v>
      </c>
      <c r="I11" s="24" t="s">
        <v>236</v>
      </c>
      <c r="J11" s="10" t="s">
        <v>77</v>
      </c>
      <c r="K11" s="24" t="s">
        <v>93</v>
      </c>
      <c r="L11" s="16">
        <v>46239</v>
      </c>
      <c r="M11" s="25" t="s">
        <v>72</v>
      </c>
      <c r="N11" s="10"/>
      <c r="O11" s="17">
        <f>IF($A11="","",COUNTIF('Fault Log'!$B:$B,$A11)-COUNTIFS('Fault Log'!$B:$B,$A11,'Fault Log'!$I:$I,"Closed"))</f>
        <v>0</v>
      </c>
      <c r="P11" s="17">
        <f>IF($A11="","",COUNTIF('Fault Log'!$B:$B,$A11))</f>
        <v>0</v>
      </c>
    </row>
    <row r="12" spans="1:16" x14ac:dyDescent="0.3">
      <c r="A12" s="10" t="s">
        <v>95</v>
      </c>
      <c r="B12" s="10" t="s">
        <v>83</v>
      </c>
      <c r="C12" s="10" t="s">
        <v>84</v>
      </c>
      <c r="D12" s="24" t="s">
        <v>85</v>
      </c>
      <c r="E12" s="24"/>
      <c r="F12" s="10" t="s">
        <v>62</v>
      </c>
      <c r="G12" s="24" t="s">
        <v>63</v>
      </c>
      <c r="H12" s="24" t="s">
        <v>235</v>
      </c>
      <c r="I12" s="24" t="s">
        <v>236</v>
      </c>
      <c r="J12" s="10" t="s">
        <v>77</v>
      </c>
      <c r="K12" s="24" t="s">
        <v>93</v>
      </c>
      <c r="L12" s="16">
        <v>46239</v>
      </c>
      <c r="M12" s="25"/>
      <c r="N12" s="10"/>
      <c r="O12" s="17">
        <f>IF($A12="","",COUNTIF('Fault Log'!$B:$B,$A12)-COUNTIFS('Fault Log'!$B:$B,$A12,'Fault Log'!$I:$I,"Closed"))</f>
        <v>0</v>
      </c>
      <c r="P12" s="17">
        <f>IF($A12="","",COUNTIF('Fault Log'!$B:$B,$A12))</f>
        <v>0</v>
      </c>
    </row>
    <row r="13" spans="1:16" x14ac:dyDescent="0.3">
      <c r="A13" s="10" t="s">
        <v>96</v>
      </c>
      <c r="B13" s="10" t="s">
        <v>58</v>
      </c>
      <c r="C13" s="10" t="s">
        <v>74</v>
      </c>
      <c r="D13" s="25" t="s">
        <v>75</v>
      </c>
      <c r="E13" s="24" t="s">
        <v>239</v>
      </c>
      <c r="F13" s="10" t="s">
        <v>62</v>
      </c>
      <c r="G13" s="24" t="s">
        <v>63</v>
      </c>
      <c r="H13" s="24" t="s">
        <v>238</v>
      </c>
      <c r="I13" s="24" t="s">
        <v>243</v>
      </c>
      <c r="J13" s="10" t="s">
        <v>77</v>
      </c>
      <c r="K13" s="24" t="s">
        <v>98</v>
      </c>
      <c r="L13" s="16">
        <v>46239</v>
      </c>
      <c r="M13" s="24" t="s">
        <v>244</v>
      </c>
      <c r="N13" s="10" t="s">
        <v>80</v>
      </c>
      <c r="O13" s="17">
        <f>IF($A13="","",COUNTIF('Fault Log'!$B:$B,$A13)-COUNTIFS('Fault Log'!$B:$B,$A13,'Fault Log'!$I:$I,"Closed"))</f>
        <v>0</v>
      </c>
      <c r="P13" s="17">
        <f>IF($A13="","",COUNTIF('Fault Log'!$B:$B,$A13))</f>
        <v>0</v>
      </c>
    </row>
    <row r="14" spans="1:16" x14ac:dyDescent="0.3">
      <c r="A14" s="10" t="s">
        <v>99</v>
      </c>
      <c r="B14" s="10" t="s">
        <v>70</v>
      </c>
      <c r="C14" s="10" t="s">
        <v>59</v>
      </c>
      <c r="D14" s="25" t="s">
        <v>71</v>
      </c>
      <c r="E14" s="24"/>
      <c r="F14" s="10" t="s">
        <v>62</v>
      </c>
      <c r="G14" s="24" t="s">
        <v>63</v>
      </c>
      <c r="H14" s="24" t="s">
        <v>238</v>
      </c>
      <c r="I14" s="24" t="s">
        <v>243</v>
      </c>
      <c r="J14" s="10" t="s">
        <v>77</v>
      </c>
      <c r="K14" s="24" t="s">
        <v>98</v>
      </c>
      <c r="L14" s="16">
        <v>46239</v>
      </c>
      <c r="M14" s="25" t="s">
        <v>72</v>
      </c>
      <c r="N14" s="10"/>
      <c r="O14" s="17">
        <f>IF($A14="","",COUNTIF('Fault Log'!$B:$B,$A14)-COUNTIFS('Fault Log'!$B:$B,$A14,'Fault Log'!$I:$I,"Closed"))</f>
        <v>0</v>
      </c>
      <c r="P14" s="17">
        <f>IF($A14="","",COUNTIF('Fault Log'!$B:$B,$A14))</f>
        <v>0</v>
      </c>
    </row>
    <row r="15" spans="1:16" x14ac:dyDescent="0.3">
      <c r="A15" s="10" t="s">
        <v>100</v>
      </c>
      <c r="B15" s="10" t="s">
        <v>83</v>
      </c>
      <c r="C15" s="10" t="s">
        <v>84</v>
      </c>
      <c r="D15" s="24" t="s">
        <v>85</v>
      </c>
      <c r="E15" s="24"/>
      <c r="F15" s="10" t="s">
        <v>62</v>
      </c>
      <c r="G15" s="24" t="s">
        <v>63</v>
      </c>
      <c r="H15" s="24" t="s">
        <v>238</v>
      </c>
      <c r="I15" s="24" t="s">
        <v>243</v>
      </c>
      <c r="J15" s="10" t="s">
        <v>77</v>
      </c>
      <c r="K15" s="24" t="s">
        <v>98</v>
      </c>
      <c r="L15" s="16">
        <v>46239</v>
      </c>
      <c r="M15" s="25"/>
      <c r="N15" s="10"/>
      <c r="O15" s="17">
        <f>IF($A15="","",COUNTIF('Fault Log'!$B:$B,$A15)-COUNTIFS('Fault Log'!$B:$B,$A15,'Fault Log'!$I:$I,"Closed"))</f>
        <v>0</v>
      </c>
      <c r="P15" s="17">
        <f>IF($A15="","",COUNTIF('Fault Log'!$B:$B,$A15))</f>
        <v>0</v>
      </c>
    </row>
    <row r="16" spans="1:16" x14ac:dyDescent="0.3">
      <c r="A16" s="10" t="s">
        <v>101</v>
      </c>
      <c r="B16" s="10" t="s">
        <v>58</v>
      </c>
      <c r="C16" s="10" t="s">
        <v>74</v>
      </c>
      <c r="D16" s="25" t="s">
        <v>75</v>
      </c>
      <c r="E16" s="24" t="s">
        <v>240</v>
      </c>
      <c r="F16" s="10" t="s">
        <v>62</v>
      </c>
      <c r="G16" s="24" t="s">
        <v>63</v>
      </c>
      <c r="H16" s="24" t="s">
        <v>241</v>
      </c>
      <c r="I16" s="24" t="s">
        <v>242</v>
      </c>
      <c r="J16" s="10" t="s">
        <v>77</v>
      </c>
      <c r="K16" s="24" t="s">
        <v>103</v>
      </c>
      <c r="L16" s="16">
        <v>46239</v>
      </c>
      <c r="M16" s="24" t="s">
        <v>244</v>
      </c>
      <c r="N16" s="10" t="s">
        <v>80</v>
      </c>
      <c r="O16" s="17">
        <f>IF($A16="","",COUNTIF('Fault Log'!$B:$B,$A16)-COUNTIFS('Fault Log'!$B:$B,$A16,'Fault Log'!$I:$I,"Closed"))</f>
        <v>0</v>
      </c>
      <c r="P16" s="17">
        <f>IF($A16="","",COUNTIF('Fault Log'!$B:$B,$A16))</f>
        <v>0</v>
      </c>
    </row>
    <row r="17" spans="1:16" x14ac:dyDescent="0.3">
      <c r="A17" s="10" t="s">
        <v>104</v>
      </c>
      <c r="B17" s="10" t="s">
        <v>70</v>
      </c>
      <c r="C17" s="10" t="s">
        <v>59</v>
      </c>
      <c r="D17" s="25" t="s">
        <v>71</v>
      </c>
      <c r="E17" s="24"/>
      <c r="F17" s="10" t="s">
        <v>62</v>
      </c>
      <c r="G17" s="24" t="s">
        <v>63</v>
      </c>
      <c r="H17" s="24" t="s">
        <v>241</v>
      </c>
      <c r="I17" s="24" t="s">
        <v>242</v>
      </c>
      <c r="J17" s="10" t="s">
        <v>77</v>
      </c>
      <c r="K17" s="24" t="s">
        <v>103</v>
      </c>
      <c r="L17" s="16">
        <v>46239</v>
      </c>
      <c r="M17" s="25" t="s">
        <v>72</v>
      </c>
      <c r="N17" s="10"/>
      <c r="O17" s="17">
        <f>IF($A17="","",COUNTIF('Fault Log'!$B:$B,$A17)-COUNTIFS('Fault Log'!$B:$B,$A17,'Fault Log'!$I:$I,"Closed"))</f>
        <v>0</v>
      </c>
      <c r="P17" s="17">
        <f>IF($A17="","",COUNTIF('Fault Log'!$B:$B,$A17))</f>
        <v>0</v>
      </c>
    </row>
    <row r="18" spans="1:16" x14ac:dyDescent="0.3">
      <c r="A18" s="10" t="s">
        <v>105</v>
      </c>
      <c r="B18" s="10" t="s">
        <v>83</v>
      </c>
      <c r="C18" s="10" t="s">
        <v>84</v>
      </c>
      <c r="D18" s="24" t="s">
        <v>85</v>
      </c>
      <c r="E18" s="24"/>
      <c r="F18" s="10" t="s">
        <v>62</v>
      </c>
      <c r="G18" s="24" t="s">
        <v>63</v>
      </c>
      <c r="H18" s="24" t="s">
        <v>241</v>
      </c>
      <c r="I18" s="24" t="s">
        <v>242</v>
      </c>
      <c r="J18" s="10" t="s">
        <v>77</v>
      </c>
      <c r="K18" s="24" t="s">
        <v>103</v>
      </c>
      <c r="L18" s="16">
        <v>46239</v>
      </c>
      <c r="M18" s="25"/>
      <c r="N18" s="10"/>
      <c r="O18" s="17">
        <f>IF($A18="","",COUNTIF('Fault Log'!$B:$B,$A18)-COUNTIFS('Fault Log'!$B:$B,$A18,'Fault Log'!$I:$I,"Closed"))</f>
        <v>0</v>
      </c>
      <c r="P18" s="17">
        <f>IF($A18="","",COUNTIF('Fault Log'!$B:$B,$A18))</f>
        <v>0</v>
      </c>
    </row>
    <row r="19" spans="1:16" x14ac:dyDescent="0.3">
      <c r="A19" s="10"/>
      <c r="B19" s="10"/>
      <c r="C19" s="10"/>
      <c r="D19" s="25"/>
      <c r="E19" s="25"/>
      <c r="F19" s="10"/>
      <c r="G19" s="25"/>
      <c r="H19" s="25"/>
      <c r="I19" s="25"/>
      <c r="J19" s="10"/>
      <c r="K19" s="25"/>
      <c r="L19" s="16"/>
      <c r="M19" s="25"/>
      <c r="N19" s="10"/>
      <c r="O19" s="17" t="str">
        <f>IF($A19="","",COUNTIF('Fault Log'!$B:$B,$A19)-COUNTIFS('Fault Log'!$B:$B,$A19,'Fault Log'!$I:$I,"Closed"))</f>
        <v/>
      </c>
      <c r="P19" s="17" t="str">
        <f>IF($A19="","",COUNTIF('Fault Log'!$B:$B,$A19))</f>
        <v/>
      </c>
    </row>
    <row r="20" spans="1:16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0"/>
      <c r="N20" s="10"/>
      <c r="O20" s="17" t="str">
        <f>IF($A20="","",COUNTIF('Fault Log'!$B:$B,$A20)-COUNTIFS('Fault Log'!$B:$B,$A20,'Fault Log'!$I:$I,"Closed"))</f>
        <v/>
      </c>
      <c r="P20" s="17" t="str">
        <f>IF($A20="","",COUNTIF('Fault Log'!$B:$B,$A20))</f>
        <v/>
      </c>
    </row>
    <row r="21" spans="1:16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6"/>
      <c r="M21" s="10"/>
      <c r="N21" s="10"/>
      <c r="O21" s="17" t="str">
        <f>IF($A21="","",COUNTIF('Fault Log'!$B:$B,$A21)-COUNTIFS('Fault Log'!$B:$B,$A21,'Fault Log'!$I:$I,"Closed"))</f>
        <v/>
      </c>
      <c r="P21" s="17" t="str">
        <f>IF($A21="","",COUNTIF('Fault Log'!$B:$B,$A21))</f>
        <v/>
      </c>
    </row>
    <row r="22" spans="1:16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6"/>
      <c r="M22" s="10"/>
      <c r="N22" s="10"/>
      <c r="O22" s="17" t="str">
        <f>IF($A22="","",COUNTIF('Fault Log'!$B:$B,$A22)-COUNTIFS('Fault Log'!$B:$B,$A22,'Fault Log'!$I:$I,"Closed"))</f>
        <v/>
      </c>
      <c r="P22" s="17" t="str">
        <f>IF($A22="","",COUNTIF('Fault Log'!$B:$B,$A22))</f>
        <v/>
      </c>
    </row>
    <row r="23" spans="1:16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6"/>
      <c r="M23" s="10"/>
      <c r="N23" s="10"/>
      <c r="O23" s="17" t="str">
        <f>IF($A23="","",COUNTIF('Fault Log'!$B:$B,$A23)-COUNTIFS('Fault Log'!$B:$B,$A23,'Fault Log'!$I:$I,"Closed"))</f>
        <v/>
      </c>
      <c r="P23" s="17" t="str">
        <f>IF($A23="","",COUNTIF('Fault Log'!$B:$B,$A23))</f>
        <v/>
      </c>
    </row>
    <row r="24" spans="1:16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6"/>
      <c r="M24" s="10"/>
      <c r="N24" s="10"/>
      <c r="O24" s="17" t="str">
        <f>IF($A24="","",COUNTIF('Fault Log'!$B:$B,$A24)-COUNTIFS('Fault Log'!$B:$B,$A24,'Fault Log'!$I:$I,"Closed"))</f>
        <v/>
      </c>
      <c r="P24" s="17" t="str">
        <f>IF($A24="","",COUNTIF('Fault Log'!$B:$B,$A24))</f>
        <v/>
      </c>
    </row>
    <row r="25" spans="1:16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6"/>
      <c r="M25" s="10"/>
      <c r="N25" s="10"/>
      <c r="O25" s="17" t="str">
        <f>IF($A25="","",COUNTIF('Fault Log'!$B:$B,$A25)-COUNTIFS('Fault Log'!$B:$B,$A25,'Fault Log'!$I:$I,"Closed"))</f>
        <v/>
      </c>
      <c r="P25" s="17" t="str">
        <f>IF($A25="","",COUNTIF('Fault Log'!$B:$B,$A25))</f>
        <v/>
      </c>
    </row>
    <row r="26" spans="1:16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6"/>
      <c r="M26" s="10"/>
      <c r="N26" s="10"/>
      <c r="O26" s="17" t="str">
        <f>IF($A26="","",COUNTIF('Fault Log'!$B:$B,$A26)-COUNTIFS('Fault Log'!$B:$B,$A26,'Fault Log'!$I:$I,"Closed"))</f>
        <v/>
      </c>
      <c r="P26" s="17" t="str">
        <f>IF($A26="","",COUNTIF('Fault Log'!$B:$B,$A26))</f>
        <v/>
      </c>
    </row>
    <row r="27" spans="1:16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6"/>
      <c r="M27" s="10"/>
      <c r="N27" s="10"/>
      <c r="O27" s="17" t="str">
        <f>IF($A27="","",COUNTIF('Fault Log'!$B:$B,$A27)-COUNTIFS('Fault Log'!$B:$B,$A27,'Fault Log'!$I:$I,"Closed"))</f>
        <v/>
      </c>
      <c r="P27" s="17" t="str">
        <f>IF($A27="","",COUNTIF('Fault Log'!$B:$B,$A27))</f>
        <v/>
      </c>
    </row>
    <row r="28" spans="1:16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6"/>
      <c r="M28" s="10"/>
      <c r="N28" s="10"/>
      <c r="O28" s="17" t="str">
        <f>IF($A28="","",COUNTIF('Fault Log'!$B:$B,$A28)-COUNTIFS('Fault Log'!$B:$B,$A28,'Fault Log'!$I:$I,"Closed"))</f>
        <v/>
      </c>
      <c r="P28" s="17" t="str">
        <f>IF($A28="","",COUNTIF('Fault Log'!$B:$B,$A28))</f>
        <v/>
      </c>
    </row>
    <row r="29" spans="1:16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6"/>
      <c r="M29" s="10"/>
      <c r="N29" s="10"/>
      <c r="O29" s="17" t="str">
        <f>IF($A29="","",COUNTIF('Fault Log'!$B:$B,$A29)-COUNTIFS('Fault Log'!$B:$B,$A29,'Fault Log'!$I:$I,"Closed"))</f>
        <v/>
      </c>
      <c r="P29" s="17" t="str">
        <f>IF($A29="","",COUNTIF('Fault Log'!$B:$B,$A29))</f>
        <v/>
      </c>
    </row>
    <row r="30" spans="1:16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6"/>
      <c r="M30" s="10"/>
      <c r="N30" s="10"/>
      <c r="O30" s="17" t="str">
        <f>IF($A30="","",COUNTIF('Fault Log'!$B:$B,$A30)-COUNTIFS('Fault Log'!$B:$B,$A30,'Fault Log'!$I:$I,"Closed"))</f>
        <v/>
      </c>
      <c r="P30" s="17" t="str">
        <f>IF($A30="","",COUNTIF('Fault Log'!$B:$B,$A30))</f>
        <v/>
      </c>
    </row>
    <row r="31" spans="1:16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6"/>
      <c r="M31" s="10"/>
      <c r="N31" s="10"/>
      <c r="O31" s="17" t="str">
        <f>IF($A31="","",COUNTIF('Fault Log'!$B:$B,$A31)-COUNTIFS('Fault Log'!$B:$B,$A31,'Fault Log'!$I:$I,"Closed"))</f>
        <v/>
      </c>
      <c r="P31" s="17" t="str">
        <f>IF($A31="","",COUNTIF('Fault Log'!$B:$B,$A31))</f>
        <v/>
      </c>
    </row>
    <row r="32" spans="1:16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6"/>
      <c r="M32" s="10"/>
      <c r="N32" s="10"/>
      <c r="O32" s="17" t="str">
        <f>IF($A32="","",COUNTIF('Fault Log'!$B:$B,$A32)-COUNTIFS('Fault Log'!$B:$B,$A32,'Fault Log'!$I:$I,"Closed"))</f>
        <v/>
      </c>
      <c r="P32" s="17" t="str">
        <f>IF($A32="","",COUNTIF('Fault Log'!$B:$B,$A32))</f>
        <v/>
      </c>
    </row>
    <row r="33" spans="1:16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6"/>
      <c r="M33" s="10"/>
      <c r="N33" s="10"/>
      <c r="O33" s="17" t="str">
        <f>IF($A33="","",COUNTIF('Fault Log'!$B:$B,$A33)-COUNTIFS('Fault Log'!$B:$B,$A33,'Fault Log'!$I:$I,"Closed"))</f>
        <v/>
      </c>
      <c r="P33" s="17" t="str">
        <f>IF($A33="","",COUNTIF('Fault Log'!$B:$B,$A33))</f>
        <v/>
      </c>
    </row>
    <row r="34" spans="1:16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6"/>
      <c r="M34" s="10"/>
      <c r="N34" s="10"/>
      <c r="O34" s="17" t="str">
        <f>IF($A34="","",COUNTIF('Fault Log'!$B:$B,$A34)-COUNTIFS('Fault Log'!$B:$B,$A34,'Fault Log'!$I:$I,"Closed"))</f>
        <v/>
      </c>
      <c r="P34" s="17" t="str">
        <f>IF($A34="","",COUNTIF('Fault Log'!$B:$B,$A34))</f>
        <v/>
      </c>
    </row>
    <row r="35" spans="1:16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6"/>
      <c r="M35" s="10"/>
      <c r="N35" s="10"/>
      <c r="O35" s="17" t="str">
        <f>IF($A35="","",COUNTIF('Fault Log'!$B:$B,$A35)-COUNTIFS('Fault Log'!$B:$B,$A35,'Fault Log'!$I:$I,"Closed"))</f>
        <v/>
      </c>
      <c r="P35" s="17" t="str">
        <f>IF($A35="","",COUNTIF('Fault Log'!$B:$B,$A35))</f>
        <v/>
      </c>
    </row>
    <row r="36" spans="1:16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6"/>
      <c r="M36" s="10"/>
      <c r="N36" s="10"/>
      <c r="O36" s="17" t="str">
        <f>IF($A36="","",COUNTIF('Fault Log'!$B:$B,$A36)-COUNTIFS('Fault Log'!$B:$B,$A36,'Fault Log'!$I:$I,"Closed"))</f>
        <v/>
      </c>
      <c r="P36" s="17" t="str">
        <f>IF($A36="","",COUNTIF('Fault Log'!$B:$B,$A36))</f>
        <v/>
      </c>
    </row>
    <row r="37" spans="1:16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6"/>
      <c r="M37" s="10"/>
      <c r="N37" s="10"/>
      <c r="O37" s="17" t="str">
        <f>IF($A37="","",COUNTIF('Fault Log'!$B:$B,$A37)-COUNTIFS('Fault Log'!$B:$B,$A37,'Fault Log'!$I:$I,"Closed"))</f>
        <v/>
      </c>
      <c r="P37" s="17" t="str">
        <f>IF($A37="","",COUNTIF('Fault Log'!$B:$B,$A37))</f>
        <v/>
      </c>
    </row>
    <row r="38" spans="1:16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6"/>
      <c r="M38" s="10"/>
      <c r="N38" s="10"/>
      <c r="O38" s="17" t="str">
        <f>IF($A38="","",COUNTIF('Fault Log'!$B:$B,$A38)-COUNTIFS('Fault Log'!$B:$B,$A38,'Fault Log'!$I:$I,"Closed"))</f>
        <v/>
      </c>
      <c r="P38" s="17" t="str">
        <f>IF($A38="","",COUNTIF('Fault Log'!$B:$B,$A38))</f>
        <v/>
      </c>
    </row>
    <row r="39" spans="1:16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6"/>
      <c r="M39" s="10"/>
      <c r="N39" s="10"/>
      <c r="O39" s="17" t="str">
        <f>IF($A39="","",COUNTIF('Fault Log'!$B:$B,$A39)-COUNTIFS('Fault Log'!$B:$B,$A39,'Fault Log'!$I:$I,"Closed"))</f>
        <v/>
      </c>
      <c r="P39" s="17" t="str">
        <f>IF($A39="","",COUNTIF('Fault Log'!$B:$B,$A39))</f>
        <v/>
      </c>
    </row>
    <row r="40" spans="1:16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6"/>
      <c r="M40" s="10"/>
      <c r="N40" s="10"/>
      <c r="O40" s="17" t="str">
        <f>IF($A40="","",COUNTIF('Fault Log'!$B:$B,$A40)-COUNTIFS('Fault Log'!$B:$B,$A40,'Fault Log'!$I:$I,"Closed"))</f>
        <v/>
      </c>
      <c r="P40" s="17" t="str">
        <f>IF($A40="","",COUNTIF('Fault Log'!$B:$B,$A40))</f>
        <v/>
      </c>
    </row>
    <row r="41" spans="1:16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6"/>
      <c r="M41" s="10"/>
      <c r="N41" s="10"/>
      <c r="O41" s="17" t="str">
        <f>IF($A41="","",COUNTIF('Fault Log'!$B:$B,$A41)-COUNTIFS('Fault Log'!$B:$B,$A41,'Fault Log'!$I:$I,"Closed"))</f>
        <v/>
      </c>
      <c r="P41" s="17" t="str">
        <f>IF($A41="","",COUNTIF('Fault Log'!$B:$B,$A41))</f>
        <v/>
      </c>
    </row>
    <row r="42" spans="1:16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6"/>
      <c r="M42" s="10"/>
      <c r="N42" s="10"/>
      <c r="O42" s="17" t="str">
        <f>IF($A42="","",COUNTIF('Fault Log'!$B:$B,$A42)-COUNTIFS('Fault Log'!$B:$B,$A42,'Fault Log'!$I:$I,"Closed"))</f>
        <v/>
      </c>
      <c r="P42" s="17" t="str">
        <f>IF($A42="","",COUNTIF('Fault Log'!$B:$B,$A42))</f>
        <v/>
      </c>
    </row>
    <row r="43" spans="1:16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6"/>
      <c r="M43" s="10"/>
      <c r="N43" s="10"/>
      <c r="O43" s="17" t="str">
        <f>IF($A43="","",COUNTIF('Fault Log'!$B:$B,$A43)-COUNTIFS('Fault Log'!$B:$B,$A43,'Fault Log'!$I:$I,"Closed"))</f>
        <v/>
      </c>
      <c r="P43" s="17" t="str">
        <f>IF($A43="","",COUNTIF('Fault Log'!$B:$B,$A43))</f>
        <v/>
      </c>
    </row>
    <row r="44" spans="1:16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6"/>
      <c r="M44" s="10"/>
      <c r="N44" s="10"/>
      <c r="O44" s="17" t="str">
        <f>IF($A44="","",COUNTIF('Fault Log'!$B:$B,$A44)-COUNTIFS('Fault Log'!$B:$B,$A44,'Fault Log'!$I:$I,"Closed"))</f>
        <v/>
      </c>
      <c r="P44" s="17" t="str">
        <f>IF($A44="","",COUNTIF('Fault Log'!$B:$B,$A44))</f>
        <v/>
      </c>
    </row>
    <row r="45" spans="1:16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6"/>
      <c r="M45" s="10"/>
      <c r="N45" s="10"/>
      <c r="O45" s="17" t="str">
        <f>IF($A45="","",COUNTIF('Fault Log'!$B:$B,$A45)-COUNTIFS('Fault Log'!$B:$B,$A45,'Fault Log'!$I:$I,"Closed"))</f>
        <v/>
      </c>
      <c r="P45" s="17" t="str">
        <f>IF($A45="","",COUNTIF('Fault Log'!$B:$B,$A45))</f>
        <v/>
      </c>
    </row>
    <row r="46" spans="1:16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6"/>
      <c r="M46" s="10"/>
      <c r="N46" s="10"/>
      <c r="O46" s="17" t="str">
        <f>IF($A46="","",COUNTIF('Fault Log'!$B:$B,$A46)-COUNTIFS('Fault Log'!$B:$B,$A46,'Fault Log'!$I:$I,"Closed"))</f>
        <v/>
      </c>
      <c r="P46" s="17" t="str">
        <f>IF($A46="","",COUNTIF('Fault Log'!$B:$B,$A46))</f>
        <v/>
      </c>
    </row>
    <row r="47" spans="1:16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6"/>
      <c r="M47" s="10"/>
      <c r="N47" s="10"/>
      <c r="O47" s="17" t="str">
        <f>IF($A47="","",COUNTIF('Fault Log'!$B:$B,$A47)-COUNTIFS('Fault Log'!$B:$B,$A47,'Fault Log'!$I:$I,"Closed"))</f>
        <v/>
      </c>
      <c r="P47" s="17" t="str">
        <f>IF($A47="","",COUNTIF('Fault Log'!$B:$B,$A47))</f>
        <v/>
      </c>
    </row>
    <row r="48" spans="1:16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6"/>
      <c r="M48" s="10"/>
      <c r="N48" s="10"/>
      <c r="O48" s="17" t="str">
        <f>IF($A48="","",COUNTIF('Fault Log'!$B:$B,$A48)-COUNTIFS('Fault Log'!$B:$B,$A48,'Fault Log'!$I:$I,"Closed"))</f>
        <v/>
      </c>
      <c r="P48" s="17" t="str">
        <f>IF($A48="","",COUNTIF('Fault Log'!$B:$B,$A48))</f>
        <v/>
      </c>
    </row>
    <row r="49" spans="1:16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6"/>
      <c r="M49" s="10"/>
      <c r="N49" s="10"/>
      <c r="O49" s="17" t="str">
        <f>IF($A49="","",COUNTIF('Fault Log'!$B:$B,$A49)-COUNTIFS('Fault Log'!$B:$B,$A49,'Fault Log'!$I:$I,"Closed"))</f>
        <v/>
      </c>
      <c r="P49" s="17" t="str">
        <f>IF($A49="","",COUNTIF('Fault Log'!$B:$B,$A49))</f>
        <v/>
      </c>
    </row>
    <row r="50" spans="1:16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6"/>
      <c r="M50" s="10"/>
      <c r="N50" s="10"/>
      <c r="O50" s="17" t="str">
        <f>IF($A50="","",COUNTIF('Fault Log'!$B:$B,$A50)-COUNTIFS('Fault Log'!$B:$B,$A50,'Fault Log'!$I:$I,"Closed"))</f>
        <v/>
      </c>
      <c r="P50" s="17" t="str">
        <f>IF($A50="","",COUNTIF('Fault Log'!$B:$B,$A50))</f>
        <v/>
      </c>
    </row>
    <row r="51" spans="1:16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6"/>
      <c r="M51" s="10"/>
      <c r="N51" s="10"/>
      <c r="O51" s="17" t="str">
        <f>IF($A51="","",COUNTIF('Fault Log'!$B:$B,$A51)-COUNTIFS('Fault Log'!$B:$B,$A51,'Fault Log'!$I:$I,"Closed"))</f>
        <v/>
      </c>
      <c r="P51" s="17" t="str">
        <f>IF($A51="","",COUNTIF('Fault Log'!$B:$B,$A51))</f>
        <v/>
      </c>
    </row>
    <row r="52" spans="1:16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6"/>
      <c r="M52" s="10"/>
      <c r="N52" s="10"/>
      <c r="O52" s="17" t="str">
        <f>IF($A52="","",COUNTIF('Fault Log'!$B:$B,$A52)-COUNTIFS('Fault Log'!$B:$B,$A52,'Fault Log'!$I:$I,"Closed"))</f>
        <v/>
      </c>
      <c r="P52" s="17" t="str">
        <f>IF($A52="","",COUNTIF('Fault Log'!$B:$B,$A52))</f>
        <v/>
      </c>
    </row>
    <row r="53" spans="1:16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6"/>
      <c r="M53" s="10"/>
      <c r="N53" s="10"/>
      <c r="O53" s="17" t="str">
        <f>IF($A53="","",COUNTIF('Fault Log'!$B:$B,$A53)-COUNTIFS('Fault Log'!$B:$B,$A53,'Fault Log'!$I:$I,"Closed"))</f>
        <v/>
      </c>
      <c r="P53" s="17" t="str">
        <f>IF($A53="","",COUNTIF('Fault Log'!$B:$B,$A53))</f>
        <v/>
      </c>
    </row>
    <row r="54" spans="1:16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6"/>
      <c r="M54" s="10"/>
      <c r="N54" s="10"/>
      <c r="O54" s="17" t="str">
        <f>IF($A54="","",COUNTIF('Fault Log'!$B:$B,$A54)-COUNTIFS('Fault Log'!$B:$B,$A54,'Fault Log'!$I:$I,"Closed"))</f>
        <v/>
      </c>
      <c r="P54" s="17" t="str">
        <f>IF($A54="","",COUNTIF('Fault Log'!$B:$B,$A54))</f>
        <v/>
      </c>
    </row>
    <row r="55" spans="1:16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6"/>
      <c r="M55" s="10"/>
      <c r="N55" s="10"/>
      <c r="O55" s="17" t="str">
        <f>IF($A55="","",COUNTIF('Fault Log'!$B:$B,$A55)-COUNTIFS('Fault Log'!$B:$B,$A55,'Fault Log'!$I:$I,"Closed"))</f>
        <v/>
      </c>
      <c r="P55" s="17" t="str">
        <f>IF($A55="","",COUNTIF('Fault Log'!$B:$B,$A55))</f>
        <v/>
      </c>
    </row>
    <row r="56" spans="1:16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6"/>
      <c r="M56" s="10"/>
      <c r="N56" s="10"/>
      <c r="O56" s="17" t="str">
        <f>IF($A56="","",COUNTIF('Fault Log'!$B:$B,$A56)-COUNTIFS('Fault Log'!$B:$B,$A56,'Fault Log'!$I:$I,"Closed"))</f>
        <v/>
      </c>
      <c r="P56" s="17" t="str">
        <f>IF($A56="","",COUNTIF('Fault Log'!$B:$B,$A56))</f>
        <v/>
      </c>
    </row>
    <row r="57" spans="1:16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6"/>
      <c r="M57" s="10"/>
      <c r="N57" s="10"/>
      <c r="O57" s="17" t="str">
        <f>IF($A57="","",COUNTIF('Fault Log'!$B:$B,$A57)-COUNTIFS('Fault Log'!$B:$B,$A57,'Fault Log'!$I:$I,"Closed"))</f>
        <v/>
      </c>
      <c r="P57" s="17" t="str">
        <f>IF($A57="","",COUNTIF('Fault Log'!$B:$B,$A57))</f>
        <v/>
      </c>
    </row>
    <row r="58" spans="1:16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6"/>
      <c r="M58" s="10"/>
      <c r="N58" s="10"/>
      <c r="O58" s="17" t="str">
        <f>IF($A58="","",COUNTIF('Fault Log'!$B:$B,$A58)-COUNTIFS('Fault Log'!$B:$B,$A58,'Fault Log'!$I:$I,"Closed"))</f>
        <v/>
      </c>
      <c r="P58" s="17" t="str">
        <f>IF($A58="","",COUNTIF('Fault Log'!$B:$B,$A58))</f>
        <v/>
      </c>
    </row>
    <row r="59" spans="1:16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6"/>
      <c r="M59" s="10"/>
      <c r="N59" s="10"/>
      <c r="O59" s="17" t="str">
        <f>IF($A59="","",COUNTIF('Fault Log'!$B:$B,$A59)-COUNTIFS('Fault Log'!$B:$B,$A59,'Fault Log'!$I:$I,"Closed"))</f>
        <v/>
      </c>
      <c r="P59" s="17" t="str">
        <f>IF($A59="","",COUNTIF('Fault Log'!$B:$B,$A59))</f>
        <v/>
      </c>
    </row>
    <row r="60" spans="1:16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6"/>
      <c r="M60" s="10"/>
      <c r="N60" s="10"/>
      <c r="O60" s="17" t="str">
        <f>IF($A60="","",COUNTIF('Fault Log'!$B:$B,$A60)-COUNTIFS('Fault Log'!$B:$B,$A60,'Fault Log'!$I:$I,"Closed"))</f>
        <v/>
      </c>
      <c r="P60" s="17" t="str">
        <f>IF($A60="","",COUNTIF('Fault Log'!$B:$B,$A60))</f>
        <v/>
      </c>
    </row>
    <row r="61" spans="1:16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6"/>
      <c r="M61" s="10"/>
      <c r="N61" s="10"/>
      <c r="O61" s="17" t="str">
        <f>IF($A61="","",COUNTIF('Fault Log'!$B:$B,$A61)-COUNTIFS('Fault Log'!$B:$B,$A61,'Fault Log'!$I:$I,"Closed"))</f>
        <v/>
      </c>
      <c r="P61" s="17" t="str">
        <f>IF($A61="","",COUNTIF('Fault Log'!$B:$B,$A61))</f>
        <v/>
      </c>
    </row>
    <row r="62" spans="1:16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6"/>
      <c r="M62" s="10"/>
      <c r="N62" s="10"/>
      <c r="O62" s="17" t="str">
        <f>IF($A62="","",COUNTIF('Fault Log'!$B:$B,$A62)-COUNTIFS('Fault Log'!$B:$B,$A62,'Fault Log'!$I:$I,"Closed"))</f>
        <v/>
      </c>
      <c r="P62" s="17" t="str">
        <f>IF($A62="","",COUNTIF('Fault Log'!$B:$B,$A62))</f>
        <v/>
      </c>
    </row>
    <row r="63" spans="1:16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6"/>
      <c r="M63" s="10"/>
      <c r="N63" s="10"/>
      <c r="O63" s="17" t="str">
        <f>IF($A63="","",COUNTIF('Fault Log'!$B:$B,$A63)-COUNTIFS('Fault Log'!$B:$B,$A63,'Fault Log'!$I:$I,"Closed"))</f>
        <v/>
      </c>
      <c r="P63" s="17" t="str">
        <f>IF($A63="","",COUNTIF('Fault Log'!$B:$B,$A63))</f>
        <v/>
      </c>
    </row>
    <row r="64" spans="1:16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6"/>
      <c r="M64" s="10"/>
      <c r="N64" s="10"/>
      <c r="O64" s="17" t="str">
        <f>IF($A64="","",COUNTIF('Fault Log'!$B:$B,$A64)-COUNTIFS('Fault Log'!$B:$B,$A64,'Fault Log'!$I:$I,"Closed"))</f>
        <v/>
      </c>
      <c r="P64" s="17" t="str">
        <f>IF($A64="","",COUNTIF('Fault Log'!$B:$B,$A64))</f>
        <v/>
      </c>
    </row>
    <row r="65" spans="1:16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6"/>
      <c r="M65" s="10"/>
      <c r="N65" s="10"/>
      <c r="O65" s="17" t="str">
        <f>IF($A65="","",COUNTIF('Fault Log'!$B:$B,$A65)-COUNTIFS('Fault Log'!$B:$B,$A65,'Fault Log'!$I:$I,"Closed"))</f>
        <v/>
      </c>
      <c r="P65" s="17" t="str">
        <f>IF($A65="","",COUNTIF('Fault Log'!$B:$B,$A65))</f>
        <v/>
      </c>
    </row>
    <row r="66" spans="1:16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6"/>
      <c r="M66" s="10"/>
      <c r="N66" s="10"/>
      <c r="O66" s="17" t="str">
        <f>IF($A66="","",COUNTIF('Fault Log'!$B:$B,$A66)-COUNTIFS('Fault Log'!$B:$B,$A66,'Fault Log'!$I:$I,"Closed"))</f>
        <v/>
      </c>
      <c r="P66" s="17" t="str">
        <f>IF($A66="","",COUNTIF('Fault Log'!$B:$B,$A66))</f>
        <v/>
      </c>
    </row>
    <row r="67" spans="1:16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6"/>
      <c r="M67" s="10"/>
      <c r="N67" s="10"/>
      <c r="O67" s="17" t="str">
        <f>IF($A67="","",COUNTIF('Fault Log'!$B:$B,$A67)-COUNTIFS('Fault Log'!$B:$B,$A67,'Fault Log'!$I:$I,"Closed"))</f>
        <v/>
      </c>
      <c r="P67" s="17" t="str">
        <f>IF($A67="","",COUNTIF('Fault Log'!$B:$B,$A67))</f>
        <v/>
      </c>
    </row>
    <row r="68" spans="1:16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6"/>
      <c r="M68" s="10"/>
      <c r="N68" s="10"/>
      <c r="O68" s="17" t="str">
        <f>IF($A68="","",COUNTIF('Fault Log'!$B:$B,$A68)-COUNTIFS('Fault Log'!$B:$B,$A68,'Fault Log'!$I:$I,"Closed"))</f>
        <v/>
      </c>
      <c r="P68" s="17" t="str">
        <f>IF($A68="","",COUNTIF('Fault Log'!$B:$B,$A68))</f>
        <v/>
      </c>
    </row>
    <row r="69" spans="1:16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6"/>
      <c r="M69" s="10"/>
      <c r="N69" s="10"/>
      <c r="O69" s="17" t="str">
        <f>IF($A69="","",COUNTIF('Fault Log'!$B:$B,$A69)-COUNTIFS('Fault Log'!$B:$B,$A69,'Fault Log'!$I:$I,"Closed"))</f>
        <v/>
      </c>
      <c r="P69" s="17" t="str">
        <f>IF($A69="","",COUNTIF('Fault Log'!$B:$B,$A69))</f>
        <v/>
      </c>
    </row>
    <row r="70" spans="1:16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6"/>
      <c r="M70" s="10"/>
      <c r="N70" s="10"/>
      <c r="O70" s="17" t="str">
        <f>IF($A70="","",COUNTIF('Fault Log'!$B:$B,$A70)-COUNTIFS('Fault Log'!$B:$B,$A70,'Fault Log'!$I:$I,"Closed"))</f>
        <v/>
      </c>
      <c r="P70" s="17" t="str">
        <f>IF($A70="","",COUNTIF('Fault Log'!$B:$B,$A70))</f>
        <v/>
      </c>
    </row>
    <row r="71" spans="1:16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6"/>
      <c r="M71" s="10"/>
      <c r="N71" s="10"/>
      <c r="O71" s="17" t="str">
        <f>IF($A71="","",COUNTIF('Fault Log'!$B:$B,$A71)-COUNTIFS('Fault Log'!$B:$B,$A71,'Fault Log'!$I:$I,"Closed"))</f>
        <v/>
      </c>
      <c r="P71" s="17" t="str">
        <f>IF($A71="","",COUNTIF('Fault Log'!$B:$B,$A71))</f>
        <v/>
      </c>
    </row>
    <row r="72" spans="1:16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6"/>
      <c r="M72" s="10"/>
      <c r="N72" s="10"/>
      <c r="O72" s="17" t="str">
        <f>IF($A72="","",COUNTIF('Fault Log'!$B:$B,$A72)-COUNTIFS('Fault Log'!$B:$B,$A72,'Fault Log'!$I:$I,"Closed"))</f>
        <v/>
      </c>
      <c r="P72" s="17" t="str">
        <f>IF($A72="","",COUNTIF('Fault Log'!$B:$B,$A72))</f>
        <v/>
      </c>
    </row>
    <row r="73" spans="1:16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6"/>
      <c r="M73" s="10"/>
      <c r="N73" s="10"/>
      <c r="O73" s="17" t="str">
        <f>IF($A73="","",COUNTIF('Fault Log'!$B:$B,$A73)-COUNTIFS('Fault Log'!$B:$B,$A73,'Fault Log'!$I:$I,"Closed"))</f>
        <v/>
      </c>
      <c r="P73" s="17" t="str">
        <f>IF($A73="","",COUNTIF('Fault Log'!$B:$B,$A73))</f>
        <v/>
      </c>
    </row>
    <row r="74" spans="1:16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6"/>
      <c r="M74" s="10"/>
      <c r="N74" s="10"/>
      <c r="O74" s="17" t="str">
        <f>IF($A74="","",COUNTIF('Fault Log'!$B:$B,$A74)-COUNTIFS('Fault Log'!$B:$B,$A74,'Fault Log'!$I:$I,"Closed"))</f>
        <v/>
      </c>
      <c r="P74" s="17" t="str">
        <f>IF($A74="","",COUNTIF('Fault Log'!$B:$B,$A74))</f>
        <v/>
      </c>
    </row>
    <row r="75" spans="1:16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6"/>
      <c r="M75" s="10"/>
      <c r="N75" s="10"/>
      <c r="O75" s="17" t="str">
        <f>IF($A75="","",COUNTIF('Fault Log'!$B:$B,$A75)-COUNTIFS('Fault Log'!$B:$B,$A75,'Fault Log'!$I:$I,"Closed"))</f>
        <v/>
      </c>
      <c r="P75" s="17" t="str">
        <f>IF($A75="","",COUNTIF('Fault Log'!$B:$B,$A75))</f>
        <v/>
      </c>
    </row>
    <row r="76" spans="1:16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6"/>
      <c r="M76" s="10"/>
      <c r="N76" s="10"/>
      <c r="O76" s="17" t="str">
        <f>IF($A76="","",COUNTIF('Fault Log'!$B:$B,$A76)-COUNTIFS('Fault Log'!$B:$B,$A76,'Fault Log'!$I:$I,"Closed"))</f>
        <v/>
      </c>
      <c r="P76" s="17" t="str">
        <f>IF($A76="","",COUNTIF('Fault Log'!$B:$B,$A76))</f>
        <v/>
      </c>
    </row>
    <row r="77" spans="1:16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6"/>
      <c r="M77" s="10"/>
      <c r="N77" s="10"/>
      <c r="O77" s="17" t="str">
        <f>IF($A77="","",COUNTIF('Fault Log'!$B:$B,$A77)-COUNTIFS('Fault Log'!$B:$B,$A77,'Fault Log'!$I:$I,"Closed"))</f>
        <v/>
      </c>
      <c r="P77" s="17" t="str">
        <f>IF($A77="","",COUNTIF('Fault Log'!$B:$B,$A77))</f>
        <v/>
      </c>
    </row>
    <row r="78" spans="1:16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6"/>
      <c r="M78" s="10"/>
      <c r="N78" s="10"/>
      <c r="O78" s="17" t="str">
        <f>IF($A78="","",COUNTIF('Fault Log'!$B:$B,$A78)-COUNTIFS('Fault Log'!$B:$B,$A78,'Fault Log'!$I:$I,"Closed"))</f>
        <v/>
      </c>
      <c r="P78" s="17" t="str">
        <f>IF($A78="","",COUNTIF('Fault Log'!$B:$B,$A78))</f>
        <v/>
      </c>
    </row>
    <row r="79" spans="1:16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6"/>
      <c r="M79" s="10"/>
      <c r="N79" s="10"/>
      <c r="O79" s="17" t="str">
        <f>IF($A79="","",COUNTIF('Fault Log'!$B:$B,$A79)-COUNTIFS('Fault Log'!$B:$B,$A79,'Fault Log'!$I:$I,"Closed"))</f>
        <v/>
      </c>
      <c r="P79" s="17" t="str">
        <f>IF($A79="","",COUNTIF('Fault Log'!$B:$B,$A79))</f>
        <v/>
      </c>
    </row>
    <row r="80" spans="1:16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6"/>
      <c r="M80" s="10"/>
      <c r="N80" s="10"/>
      <c r="O80" s="17" t="str">
        <f>IF($A80="","",COUNTIF('Fault Log'!$B:$B,$A80)-COUNTIFS('Fault Log'!$B:$B,$A80,'Fault Log'!$I:$I,"Closed"))</f>
        <v/>
      </c>
      <c r="P80" s="17" t="str">
        <f>IF($A80="","",COUNTIF('Fault Log'!$B:$B,$A80))</f>
        <v/>
      </c>
    </row>
    <row r="81" spans="1:16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6"/>
      <c r="M81" s="10"/>
      <c r="N81" s="10"/>
      <c r="O81" s="17" t="str">
        <f>IF($A81="","",COUNTIF('Fault Log'!$B:$B,$A81)-COUNTIFS('Fault Log'!$B:$B,$A81,'Fault Log'!$I:$I,"Closed"))</f>
        <v/>
      </c>
      <c r="P81" s="17" t="str">
        <f>IF($A81="","",COUNTIF('Fault Log'!$B:$B,$A81))</f>
        <v/>
      </c>
    </row>
    <row r="82" spans="1:16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6"/>
      <c r="M82" s="10"/>
      <c r="N82" s="10"/>
      <c r="O82" s="17" t="str">
        <f>IF($A82="","",COUNTIF('Fault Log'!$B:$B,$A82)-COUNTIFS('Fault Log'!$B:$B,$A82,'Fault Log'!$I:$I,"Closed"))</f>
        <v/>
      </c>
      <c r="P82" s="17" t="str">
        <f>IF($A82="","",COUNTIF('Fault Log'!$B:$B,$A82))</f>
        <v/>
      </c>
    </row>
    <row r="83" spans="1:16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6"/>
      <c r="M83" s="10"/>
      <c r="N83" s="10"/>
      <c r="O83" s="17" t="str">
        <f>IF($A83="","",COUNTIF('Fault Log'!$B:$B,$A83)-COUNTIFS('Fault Log'!$B:$B,$A83,'Fault Log'!$I:$I,"Closed"))</f>
        <v/>
      </c>
      <c r="P83" s="17" t="str">
        <f>IF($A83="","",COUNTIF('Fault Log'!$B:$B,$A83))</f>
        <v/>
      </c>
    </row>
    <row r="84" spans="1:16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6"/>
      <c r="M84" s="10"/>
      <c r="N84" s="10"/>
      <c r="O84" s="17" t="str">
        <f>IF($A84="","",COUNTIF('Fault Log'!$B:$B,$A84)-COUNTIFS('Fault Log'!$B:$B,$A84,'Fault Log'!$I:$I,"Closed"))</f>
        <v/>
      </c>
      <c r="P84" s="17" t="str">
        <f>IF($A84="","",COUNTIF('Fault Log'!$B:$B,$A84))</f>
        <v/>
      </c>
    </row>
    <row r="85" spans="1:16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6"/>
      <c r="M85" s="10"/>
      <c r="N85" s="10"/>
      <c r="O85" s="17" t="str">
        <f>IF($A85="","",COUNTIF('Fault Log'!$B:$B,$A85)-COUNTIFS('Fault Log'!$B:$B,$A85,'Fault Log'!$I:$I,"Closed"))</f>
        <v/>
      </c>
      <c r="P85" s="17" t="str">
        <f>IF($A85="","",COUNTIF('Fault Log'!$B:$B,$A85))</f>
        <v/>
      </c>
    </row>
    <row r="86" spans="1:16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6"/>
      <c r="M86" s="10"/>
      <c r="N86" s="10"/>
      <c r="O86" s="17" t="str">
        <f>IF($A86="","",COUNTIF('Fault Log'!$B:$B,$A86)-COUNTIFS('Fault Log'!$B:$B,$A86,'Fault Log'!$I:$I,"Closed"))</f>
        <v/>
      </c>
      <c r="P86" s="17" t="str">
        <f>IF($A86="","",COUNTIF('Fault Log'!$B:$B,$A86))</f>
        <v/>
      </c>
    </row>
    <row r="87" spans="1:16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6"/>
      <c r="M87" s="10"/>
      <c r="N87" s="10"/>
      <c r="O87" s="17" t="str">
        <f>IF($A87="","",COUNTIF('Fault Log'!$B:$B,$A87)-COUNTIFS('Fault Log'!$B:$B,$A87,'Fault Log'!$I:$I,"Closed"))</f>
        <v/>
      </c>
      <c r="P87" s="17" t="str">
        <f>IF($A87="","",COUNTIF('Fault Log'!$B:$B,$A87))</f>
        <v/>
      </c>
    </row>
    <row r="88" spans="1:16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6"/>
      <c r="M88" s="10"/>
      <c r="N88" s="10"/>
      <c r="O88" s="17" t="str">
        <f>IF($A88="","",COUNTIF('Fault Log'!$B:$B,$A88)-COUNTIFS('Fault Log'!$B:$B,$A88,'Fault Log'!$I:$I,"Closed"))</f>
        <v/>
      </c>
      <c r="P88" s="17" t="str">
        <f>IF($A88="","",COUNTIF('Fault Log'!$B:$B,$A88))</f>
        <v/>
      </c>
    </row>
    <row r="89" spans="1:16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6"/>
      <c r="M89" s="10"/>
      <c r="N89" s="10"/>
      <c r="O89" s="17" t="str">
        <f>IF($A89="","",COUNTIF('Fault Log'!$B:$B,$A89)-COUNTIFS('Fault Log'!$B:$B,$A89,'Fault Log'!$I:$I,"Closed"))</f>
        <v/>
      </c>
      <c r="P89" s="17" t="str">
        <f>IF($A89="","",COUNTIF('Fault Log'!$B:$B,$A89))</f>
        <v/>
      </c>
    </row>
    <row r="90" spans="1:16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6"/>
      <c r="M90" s="10"/>
      <c r="N90" s="10"/>
      <c r="O90" s="17" t="str">
        <f>IF($A90="","",COUNTIF('Fault Log'!$B:$B,$A90)-COUNTIFS('Fault Log'!$B:$B,$A90,'Fault Log'!$I:$I,"Closed"))</f>
        <v/>
      </c>
      <c r="P90" s="17" t="str">
        <f>IF($A90="","",COUNTIF('Fault Log'!$B:$B,$A90))</f>
        <v/>
      </c>
    </row>
    <row r="91" spans="1:16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6"/>
      <c r="M91" s="10"/>
      <c r="N91" s="10"/>
      <c r="O91" s="17" t="str">
        <f>IF($A91="","",COUNTIF('Fault Log'!$B:$B,$A91)-COUNTIFS('Fault Log'!$B:$B,$A91,'Fault Log'!$I:$I,"Closed"))</f>
        <v/>
      </c>
      <c r="P91" s="17" t="str">
        <f>IF($A91="","",COUNTIF('Fault Log'!$B:$B,$A91))</f>
        <v/>
      </c>
    </row>
    <row r="92" spans="1:16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6"/>
      <c r="M92" s="10"/>
      <c r="N92" s="10"/>
      <c r="O92" s="17" t="str">
        <f>IF($A92="","",COUNTIF('Fault Log'!$B:$B,$A92)-COUNTIFS('Fault Log'!$B:$B,$A92,'Fault Log'!$I:$I,"Closed"))</f>
        <v/>
      </c>
      <c r="P92" s="17" t="str">
        <f>IF($A92="","",COUNTIF('Fault Log'!$B:$B,$A92))</f>
        <v/>
      </c>
    </row>
    <row r="93" spans="1:16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6"/>
      <c r="M93" s="10"/>
      <c r="N93" s="10"/>
      <c r="O93" s="17" t="str">
        <f>IF($A93="","",COUNTIF('Fault Log'!$B:$B,$A93)-COUNTIFS('Fault Log'!$B:$B,$A93,'Fault Log'!$I:$I,"Closed"))</f>
        <v/>
      </c>
      <c r="P93" s="17" t="str">
        <f>IF($A93="","",COUNTIF('Fault Log'!$B:$B,$A93))</f>
        <v/>
      </c>
    </row>
    <row r="94" spans="1:16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6"/>
      <c r="M94" s="10"/>
      <c r="N94" s="10"/>
      <c r="O94" s="17" t="str">
        <f>IF($A94="","",COUNTIF('Fault Log'!$B:$B,$A94)-COUNTIFS('Fault Log'!$B:$B,$A94,'Fault Log'!$I:$I,"Closed"))</f>
        <v/>
      </c>
      <c r="P94" s="17" t="str">
        <f>IF($A94="","",COUNTIF('Fault Log'!$B:$B,$A94))</f>
        <v/>
      </c>
    </row>
    <row r="95" spans="1:16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6"/>
      <c r="M95" s="10"/>
      <c r="N95" s="10"/>
      <c r="O95" s="17" t="str">
        <f>IF($A95="","",COUNTIF('Fault Log'!$B:$B,$A95)-COUNTIFS('Fault Log'!$B:$B,$A95,'Fault Log'!$I:$I,"Closed"))</f>
        <v/>
      </c>
      <c r="P95" s="17" t="str">
        <f>IF($A95="","",COUNTIF('Fault Log'!$B:$B,$A95))</f>
        <v/>
      </c>
    </row>
    <row r="96" spans="1:16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6"/>
      <c r="M96" s="10"/>
      <c r="N96" s="10"/>
      <c r="O96" s="17" t="str">
        <f>IF($A96="","",COUNTIF('Fault Log'!$B:$B,$A96)-COUNTIFS('Fault Log'!$B:$B,$A96,'Fault Log'!$I:$I,"Closed"))</f>
        <v/>
      </c>
      <c r="P96" s="17" t="str">
        <f>IF($A96="","",COUNTIF('Fault Log'!$B:$B,$A96))</f>
        <v/>
      </c>
    </row>
    <row r="97" spans="1:16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6"/>
      <c r="M97" s="10"/>
      <c r="N97" s="10"/>
      <c r="O97" s="17" t="str">
        <f>IF($A97="","",COUNTIF('Fault Log'!$B:$B,$A97)-COUNTIFS('Fault Log'!$B:$B,$A97,'Fault Log'!$I:$I,"Closed"))</f>
        <v/>
      </c>
      <c r="P97" s="17" t="str">
        <f>IF($A97="","",COUNTIF('Fault Log'!$B:$B,$A97))</f>
        <v/>
      </c>
    </row>
    <row r="98" spans="1:16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6"/>
      <c r="M98" s="10"/>
      <c r="N98" s="10"/>
      <c r="O98" s="17" t="str">
        <f>IF($A98="","",COUNTIF('Fault Log'!$B:$B,$A98)-COUNTIFS('Fault Log'!$B:$B,$A98,'Fault Log'!$I:$I,"Closed"))</f>
        <v/>
      </c>
      <c r="P98" s="17" t="str">
        <f>IF($A98="","",COUNTIF('Fault Log'!$B:$B,$A98))</f>
        <v/>
      </c>
    </row>
    <row r="99" spans="1:16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6"/>
      <c r="M99" s="10"/>
      <c r="N99" s="10"/>
      <c r="O99" s="17" t="str">
        <f>IF($A99="","",COUNTIF('Fault Log'!$B:$B,$A99)-COUNTIFS('Fault Log'!$B:$B,$A99,'Fault Log'!$I:$I,"Closed"))</f>
        <v/>
      </c>
      <c r="P99" s="17" t="str">
        <f>IF($A99="","",COUNTIF('Fault Log'!$B:$B,$A99))</f>
        <v/>
      </c>
    </row>
    <row r="100" spans="1:16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6"/>
      <c r="M100" s="10"/>
      <c r="N100" s="10"/>
      <c r="O100" s="17" t="str">
        <f>IF($A100="","",COUNTIF('Fault Log'!$B:$B,$A100)-COUNTIFS('Fault Log'!$B:$B,$A100,'Fault Log'!$I:$I,"Closed"))</f>
        <v/>
      </c>
      <c r="P100" s="17" t="str">
        <f>IF($A100="","",COUNTIF('Fault Log'!$B:$B,$A100))</f>
        <v/>
      </c>
    </row>
    <row r="101" spans="1:16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6"/>
      <c r="M101" s="10"/>
      <c r="N101" s="10"/>
      <c r="O101" s="17" t="str">
        <f>IF($A101="","",COUNTIF('Fault Log'!$B:$B,$A101)-COUNTIFS('Fault Log'!$B:$B,$A101,'Fault Log'!$I:$I,"Closed"))</f>
        <v/>
      </c>
      <c r="P101" s="17" t="str">
        <f>IF($A101="","",COUNTIF('Fault Log'!$B:$B,$A101))</f>
        <v/>
      </c>
    </row>
    <row r="102" spans="1:16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6"/>
      <c r="M102" s="10"/>
      <c r="N102" s="10"/>
      <c r="O102" s="17" t="str">
        <f>IF($A102="","",COUNTIF('Fault Log'!$B:$B,$A102)-COUNTIFS('Fault Log'!$B:$B,$A102,'Fault Log'!$I:$I,"Closed"))</f>
        <v/>
      </c>
      <c r="P102" s="17" t="str">
        <f>IF($A102="","",COUNTIF('Fault Log'!$B:$B,$A102))</f>
        <v/>
      </c>
    </row>
    <row r="103" spans="1:16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6"/>
      <c r="M103" s="10"/>
      <c r="N103" s="10"/>
      <c r="O103" s="17" t="str">
        <f>IF($A103="","",COUNTIF('Fault Log'!$B:$B,$A103)-COUNTIFS('Fault Log'!$B:$B,$A103,'Fault Log'!$I:$I,"Closed"))</f>
        <v/>
      </c>
      <c r="P103" s="17" t="str">
        <f>IF($A103="","",COUNTIF('Fault Log'!$B:$B,$A103))</f>
        <v/>
      </c>
    </row>
    <row r="104" spans="1:16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6"/>
      <c r="M104" s="10"/>
      <c r="N104" s="10"/>
      <c r="O104" s="17" t="str">
        <f>IF($A104="","",COUNTIF('Fault Log'!$B:$B,$A104)-COUNTIFS('Fault Log'!$B:$B,$A104,'Fault Log'!$I:$I,"Closed"))</f>
        <v/>
      </c>
      <c r="P104" s="17" t="str">
        <f>IF($A104="","",COUNTIF('Fault Log'!$B:$B,$A104))</f>
        <v/>
      </c>
    </row>
    <row r="105" spans="1:16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6"/>
      <c r="M105" s="10"/>
      <c r="N105" s="10"/>
      <c r="O105" s="17" t="str">
        <f>IF($A105="","",COUNTIF('Fault Log'!$B:$B,$A105)-COUNTIFS('Fault Log'!$B:$B,$A105,'Fault Log'!$I:$I,"Closed"))</f>
        <v/>
      </c>
      <c r="P105" s="17" t="str">
        <f>IF($A105="","",COUNTIF('Fault Log'!$B:$B,$A105))</f>
        <v/>
      </c>
    </row>
    <row r="106" spans="1:16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6"/>
      <c r="M106" s="10"/>
      <c r="N106" s="10"/>
      <c r="O106" s="17" t="str">
        <f>IF($A106="","",COUNTIF('Fault Log'!$B:$B,$A106)-COUNTIFS('Fault Log'!$B:$B,$A106,'Fault Log'!$I:$I,"Closed"))</f>
        <v/>
      </c>
      <c r="P106" s="17" t="str">
        <f>IF($A106="","",COUNTIF('Fault Log'!$B:$B,$A106))</f>
        <v/>
      </c>
    </row>
    <row r="107" spans="1:16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6"/>
      <c r="M107" s="10"/>
      <c r="N107" s="10"/>
      <c r="O107" s="17" t="str">
        <f>IF($A107="","",COUNTIF('Fault Log'!$B:$B,$A107)-COUNTIFS('Fault Log'!$B:$B,$A107,'Fault Log'!$I:$I,"Closed"))</f>
        <v/>
      </c>
      <c r="P107" s="17" t="str">
        <f>IF($A107="","",COUNTIF('Fault Log'!$B:$B,$A107))</f>
        <v/>
      </c>
    </row>
    <row r="108" spans="1:16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6"/>
      <c r="M108" s="10"/>
      <c r="N108" s="10"/>
      <c r="O108" s="17" t="str">
        <f>IF($A108="","",COUNTIF('Fault Log'!$B:$B,$A108)-COUNTIFS('Fault Log'!$B:$B,$A108,'Fault Log'!$I:$I,"Closed"))</f>
        <v/>
      </c>
      <c r="P108" s="17" t="str">
        <f>IF($A108="","",COUNTIF('Fault Log'!$B:$B,$A108))</f>
        <v/>
      </c>
    </row>
    <row r="109" spans="1:16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6"/>
      <c r="M109" s="10"/>
      <c r="N109" s="10"/>
      <c r="O109" s="17" t="str">
        <f>IF($A109="","",COUNTIF('Fault Log'!$B:$B,$A109)-COUNTIFS('Fault Log'!$B:$B,$A109,'Fault Log'!$I:$I,"Closed"))</f>
        <v/>
      </c>
      <c r="P109" s="17" t="str">
        <f>IF($A109="","",COUNTIF('Fault Log'!$B:$B,$A109))</f>
        <v/>
      </c>
    </row>
    <row r="110" spans="1:16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6"/>
      <c r="M110" s="10"/>
      <c r="N110" s="10"/>
      <c r="O110" s="17" t="str">
        <f>IF($A110="","",COUNTIF('Fault Log'!$B:$B,$A110)-COUNTIFS('Fault Log'!$B:$B,$A110,'Fault Log'!$I:$I,"Closed"))</f>
        <v/>
      </c>
      <c r="P110" s="17" t="str">
        <f>IF($A110="","",COUNTIF('Fault Log'!$B:$B,$A110))</f>
        <v/>
      </c>
    </row>
    <row r="111" spans="1:16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6"/>
      <c r="M111" s="10"/>
      <c r="N111" s="10"/>
      <c r="O111" s="17" t="str">
        <f>IF($A111="","",COUNTIF('Fault Log'!$B:$B,$A111)-COUNTIFS('Fault Log'!$B:$B,$A111,'Fault Log'!$I:$I,"Closed"))</f>
        <v/>
      </c>
      <c r="P111" s="17" t="str">
        <f>IF($A111="","",COUNTIF('Fault Log'!$B:$B,$A111))</f>
        <v/>
      </c>
    </row>
    <row r="112" spans="1:16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6"/>
      <c r="M112" s="10"/>
      <c r="N112" s="10"/>
      <c r="O112" s="17" t="str">
        <f>IF($A112="","",COUNTIF('Fault Log'!$B:$B,$A112)-COUNTIFS('Fault Log'!$B:$B,$A112,'Fault Log'!$I:$I,"Closed"))</f>
        <v/>
      </c>
      <c r="P112" s="17" t="str">
        <f>IF($A112="","",COUNTIF('Fault Log'!$B:$B,$A112))</f>
        <v/>
      </c>
    </row>
    <row r="113" spans="1:16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6"/>
      <c r="M113" s="10"/>
      <c r="N113" s="10"/>
      <c r="O113" s="17" t="str">
        <f>IF($A113="","",COUNTIF('Fault Log'!$B:$B,$A113)-COUNTIFS('Fault Log'!$B:$B,$A113,'Fault Log'!$I:$I,"Closed"))</f>
        <v/>
      </c>
      <c r="P113" s="17" t="str">
        <f>IF($A113="","",COUNTIF('Fault Log'!$B:$B,$A113))</f>
        <v/>
      </c>
    </row>
    <row r="114" spans="1:16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6"/>
      <c r="M114" s="10"/>
      <c r="N114" s="10"/>
      <c r="O114" s="17" t="str">
        <f>IF($A114="","",COUNTIF('Fault Log'!$B:$B,$A114)-COUNTIFS('Fault Log'!$B:$B,$A114,'Fault Log'!$I:$I,"Closed"))</f>
        <v/>
      </c>
      <c r="P114" s="17" t="str">
        <f>IF($A114="","",COUNTIF('Fault Log'!$B:$B,$A114))</f>
        <v/>
      </c>
    </row>
    <row r="115" spans="1:16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6"/>
      <c r="M115" s="10"/>
      <c r="N115" s="10"/>
      <c r="O115" s="17" t="str">
        <f>IF($A115="","",COUNTIF('Fault Log'!$B:$B,$A115)-COUNTIFS('Fault Log'!$B:$B,$A115,'Fault Log'!$I:$I,"Closed"))</f>
        <v/>
      </c>
      <c r="P115" s="17" t="str">
        <f>IF($A115="","",COUNTIF('Fault Log'!$B:$B,$A115))</f>
        <v/>
      </c>
    </row>
    <row r="116" spans="1:16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6"/>
      <c r="M116" s="10"/>
      <c r="N116" s="10"/>
      <c r="O116" s="17" t="str">
        <f>IF($A116="","",COUNTIF('Fault Log'!$B:$B,$A116)-COUNTIFS('Fault Log'!$B:$B,$A116,'Fault Log'!$I:$I,"Closed"))</f>
        <v/>
      </c>
      <c r="P116" s="17" t="str">
        <f>IF($A116="","",COUNTIF('Fault Log'!$B:$B,$A116))</f>
        <v/>
      </c>
    </row>
    <row r="117" spans="1:16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6"/>
      <c r="M117" s="10"/>
      <c r="N117" s="10"/>
      <c r="O117" s="17" t="str">
        <f>IF($A117="","",COUNTIF('Fault Log'!$B:$B,$A117)-COUNTIFS('Fault Log'!$B:$B,$A117,'Fault Log'!$I:$I,"Closed"))</f>
        <v/>
      </c>
      <c r="P117" s="17" t="str">
        <f>IF($A117="","",COUNTIF('Fault Log'!$B:$B,$A117))</f>
        <v/>
      </c>
    </row>
    <row r="118" spans="1:16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6"/>
      <c r="M118" s="10"/>
      <c r="N118" s="10"/>
      <c r="O118" s="17" t="str">
        <f>IF($A118="","",COUNTIF('Fault Log'!$B:$B,$A118)-COUNTIFS('Fault Log'!$B:$B,$A118,'Fault Log'!$I:$I,"Closed"))</f>
        <v/>
      </c>
      <c r="P118" s="17" t="str">
        <f>IF($A118="","",COUNTIF('Fault Log'!$B:$B,$A118))</f>
        <v/>
      </c>
    </row>
    <row r="119" spans="1:16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6"/>
      <c r="M119" s="10"/>
      <c r="N119" s="10"/>
      <c r="O119" s="17" t="str">
        <f>IF($A119="","",COUNTIF('Fault Log'!$B:$B,$A119)-COUNTIFS('Fault Log'!$B:$B,$A119,'Fault Log'!$I:$I,"Closed"))</f>
        <v/>
      </c>
      <c r="P119" s="17" t="str">
        <f>IF($A119="","",COUNTIF('Fault Log'!$B:$B,$A119))</f>
        <v/>
      </c>
    </row>
    <row r="120" spans="1:16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6"/>
      <c r="M120" s="10"/>
      <c r="N120" s="10"/>
      <c r="O120" s="17" t="str">
        <f>IF($A120="","",COUNTIF('Fault Log'!$B:$B,$A120)-COUNTIFS('Fault Log'!$B:$B,$A120,'Fault Log'!$I:$I,"Closed"))</f>
        <v/>
      </c>
      <c r="P120" s="17" t="str">
        <f>IF($A120="","",COUNTIF('Fault Log'!$B:$B,$A120))</f>
        <v/>
      </c>
    </row>
    <row r="121" spans="1:16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6"/>
      <c r="M121" s="10"/>
      <c r="N121" s="10"/>
      <c r="O121" s="17" t="str">
        <f>IF($A121="","",COUNTIF('Fault Log'!$B:$B,$A121)-COUNTIFS('Fault Log'!$B:$B,$A121,'Fault Log'!$I:$I,"Closed"))</f>
        <v/>
      </c>
      <c r="P121" s="17" t="str">
        <f>IF($A121="","",COUNTIF('Fault Log'!$B:$B,$A121))</f>
        <v/>
      </c>
    </row>
    <row r="122" spans="1:16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6"/>
      <c r="M122" s="10"/>
      <c r="N122" s="10"/>
      <c r="O122" s="17" t="str">
        <f>IF($A122="","",COUNTIF('Fault Log'!$B:$B,$A122)-COUNTIFS('Fault Log'!$B:$B,$A122,'Fault Log'!$I:$I,"Closed"))</f>
        <v/>
      </c>
      <c r="P122" s="17" t="str">
        <f>IF($A122="","",COUNTIF('Fault Log'!$B:$B,$A122))</f>
        <v/>
      </c>
    </row>
    <row r="123" spans="1:16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6"/>
      <c r="M123" s="10"/>
      <c r="N123" s="10"/>
      <c r="O123" s="17" t="str">
        <f>IF($A123="","",COUNTIF('Fault Log'!$B:$B,$A123)-COUNTIFS('Fault Log'!$B:$B,$A123,'Fault Log'!$I:$I,"Closed"))</f>
        <v/>
      </c>
      <c r="P123" s="17" t="str">
        <f>IF($A123="","",COUNTIF('Fault Log'!$B:$B,$A123))</f>
        <v/>
      </c>
    </row>
    <row r="124" spans="1:16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6"/>
      <c r="M124" s="10"/>
      <c r="N124" s="10"/>
      <c r="O124" s="17" t="str">
        <f>IF($A124="","",COUNTIF('Fault Log'!$B:$B,$A124)-COUNTIFS('Fault Log'!$B:$B,$A124,'Fault Log'!$I:$I,"Closed"))</f>
        <v/>
      </c>
      <c r="P124" s="17" t="str">
        <f>IF($A124="","",COUNTIF('Fault Log'!$B:$B,$A124))</f>
        <v/>
      </c>
    </row>
    <row r="125" spans="1:16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6"/>
      <c r="M125" s="10"/>
      <c r="N125" s="10"/>
      <c r="O125" s="17" t="str">
        <f>IF($A125="","",COUNTIF('Fault Log'!$B:$B,$A125)-COUNTIFS('Fault Log'!$B:$B,$A125,'Fault Log'!$I:$I,"Closed"))</f>
        <v/>
      </c>
      <c r="P125" s="17" t="str">
        <f>IF($A125="","",COUNTIF('Fault Log'!$B:$B,$A125))</f>
        <v/>
      </c>
    </row>
    <row r="126" spans="1:16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6"/>
      <c r="M126" s="10"/>
      <c r="N126" s="10"/>
      <c r="O126" s="17" t="str">
        <f>IF($A126="","",COUNTIF('Fault Log'!$B:$B,$A126)-COUNTIFS('Fault Log'!$B:$B,$A126,'Fault Log'!$I:$I,"Closed"))</f>
        <v/>
      </c>
      <c r="P126" s="17" t="str">
        <f>IF($A126="","",COUNTIF('Fault Log'!$B:$B,$A126))</f>
        <v/>
      </c>
    </row>
    <row r="127" spans="1:16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6"/>
      <c r="M127" s="10"/>
      <c r="N127" s="10"/>
      <c r="O127" s="17" t="str">
        <f>IF($A127="","",COUNTIF('Fault Log'!$B:$B,$A127)-COUNTIFS('Fault Log'!$B:$B,$A127,'Fault Log'!$I:$I,"Closed"))</f>
        <v/>
      </c>
      <c r="P127" s="17" t="str">
        <f>IF($A127="","",COUNTIF('Fault Log'!$B:$B,$A127))</f>
        <v/>
      </c>
    </row>
    <row r="128" spans="1:16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6"/>
      <c r="M128" s="10"/>
      <c r="N128" s="10"/>
      <c r="O128" s="17" t="str">
        <f>IF($A128="","",COUNTIF('Fault Log'!$B:$B,$A128)-COUNTIFS('Fault Log'!$B:$B,$A128,'Fault Log'!$I:$I,"Closed"))</f>
        <v/>
      </c>
      <c r="P128" s="17" t="str">
        <f>IF($A128="","",COUNTIF('Fault Log'!$B:$B,$A128))</f>
        <v/>
      </c>
    </row>
    <row r="129" spans="1:16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6"/>
      <c r="M129" s="10"/>
      <c r="N129" s="10"/>
      <c r="O129" s="17" t="str">
        <f>IF($A129="","",COUNTIF('Fault Log'!$B:$B,$A129)-COUNTIFS('Fault Log'!$B:$B,$A129,'Fault Log'!$I:$I,"Closed"))</f>
        <v/>
      </c>
      <c r="P129" s="17" t="str">
        <f>IF($A129="","",COUNTIF('Fault Log'!$B:$B,$A129))</f>
        <v/>
      </c>
    </row>
    <row r="130" spans="1:16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6"/>
      <c r="M130" s="10"/>
      <c r="N130" s="10"/>
      <c r="O130" s="17" t="str">
        <f>IF($A130="","",COUNTIF('Fault Log'!$B:$B,$A130)-COUNTIFS('Fault Log'!$B:$B,$A130,'Fault Log'!$I:$I,"Closed"))</f>
        <v/>
      </c>
      <c r="P130" s="17" t="str">
        <f>IF($A130="","",COUNTIF('Fault Log'!$B:$B,$A130))</f>
        <v/>
      </c>
    </row>
    <row r="131" spans="1:16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6"/>
      <c r="M131" s="10"/>
      <c r="N131" s="10"/>
      <c r="O131" s="17" t="str">
        <f>IF($A131="","",COUNTIF('Fault Log'!$B:$B,$A131)-COUNTIFS('Fault Log'!$B:$B,$A131,'Fault Log'!$I:$I,"Closed"))</f>
        <v/>
      </c>
      <c r="P131" s="17" t="str">
        <f>IF($A131="","",COUNTIF('Fault Log'!$B:$B,$A131))</f>
        <v/>
      </c>
    </row>
    <row r="132" spans="1:16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6"/>
      <c r="M132" s="10"/>
      <c r="N132" s="10"/>
      <c r="O132" s="17" t="str">
        <f>IF($A132="","",COUNTIF('Fault Log'!$B:$B,$A132)-COUNTIFS('Fault Log'!$B:$B,$A132,'Fault Log'!$I:$I,"Closed"))</f>
        <v/>
      </c>
      <c r="P132" s="17" t="str">
        <f>IF($A132="","",COUNTIF('Fault Log'!$B:$B,$A132))</f>
        <v/>
      </c>
    </row>
    <row r="133" spans="1:16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6"/>
      <c r="M133" s="10"/>
      <c r="N133" s="10"/>
      <c r="O133" s="17" t="str">
        <f>IF($A133="","",COUNTIF('Fault Log'!$B:$B,$A133)-COUNTIFS('Fault Log'!$B:$B,$A133,'Fault Log'!$I:$I,"Closed"))</f>
        <v/>
      </c>
      <c r="P133" s="17" t="str">
        <f>IF($A133="","",COUNTIF('Fault Log'!$B:$B,$A133))</f>
        <v/>
      </c>
    </row>
    <row r="134" spans="1:16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6"/>
      <c r="M134" s="10"/>
      <c r="N134" s="10"/>
      <c r="O134" s="17" t="str">
        <f>IF($A134="","",COUNTIF('Fault Log'!$B:$B,$A134)-COUNTIFS('Fault Log'!$B:$B,$A134,'Fault Log'!$I:$I,"Closed"))</f>
        <v/>
      </c>
      <c r="P134" s="17" t="str">
        <f>IF($A134="","",COUNTIF('Fault Log'!$B:$B,$A134))</f>
        <v/>
      </c>
    </row>
    <row r="135" spans="1:16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6"/>
      <c r="M135" s="10"/>
      <c r="N135" s="10"/>
      <c r="O135" s="17" t="str">
        <f>IF($A135="","",COUNTIF('Fault Log'!$B:$B,$A135)-COUNTIFS('Fault Log'!$B:$B,$A135,'Fault Log'!$I:$I,"Closed"))</f>
        <v/>
      </c>
      <c r="P135" s="17" t="str">
        <f>IF($A135="","",COUNTIF('Fault Log'!$B:$B,$A135))</f>
        <v/>
      </c>
    </row>
    <row r="136" spans="1:16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6"/>
      <c r="M136" s="10"/>
      <c r="N136" s="10"/>
      <c r="O136" s="17" t="str">
        <f>IF($A136="","",COUNTIF('Fault Log'!$B:$B,$A136)-COUNTIFS('Fault Log'!$B:$B,$A136,'Fault Log'!$I:$I,"Closed"))</f>
        <v/>
      </c>
      <c r="P136" s="17" t="str">
        <f>IF($A136="","",COUNTIF('Fault Log'!$B:$B,$A136))</f>
        <v/>
      </c>
    </row>
    <row r="137" spans="1:16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6"/>
      <c r="M137" s="10"/>
      <c r="N137" s="10"/>
      <c r="O137" s="17" t="str">
        <f>IF($A137="","",COUNTIF('Fault Log'!$B:$B,$A137)-COUNTIFS('Fault Log'!$B:$B,$A137,'Fault Log'!$I:$I,"Closed"))</f>
        <v/>
      </c>
      <c r="P137" s="17" t="str">
        <f>IF($A137="","",COUNTIF('Fault Log'!$B:$B,$A137))</f>
        <v/>
      </c>
    </row>
    <row r="138" spans="1:16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6"/>
      <c r="M138" s="10"/>
      <c r="N138" s="10"/>
      <c r="O138" s="17" t="str">
        <f>IF($A138="","",COUNTIF('Fault Log'!$B:$B,$A138)-COUNTIFS('Fault Log'!$B:$B,$A138,'Fault Log'!$I:$I,"Closed"))</f>
        <v/>
      </c>
      <c r="P138" s="17" t="str">
        <f>IF($A138="","",COUNTIF('Fault Log'!$B:$B,$A138))</f>
        <v/>
      </c>
    </row>
    <row r="139" spans="1:16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6"/>
      <c r="M139" s="10"/>
      <c r="N139" s="10"/>
      <c r="O139" s="17" t="str">
        <f>IF($A139="","",COUNTIF('Fault Log'!$B:$B,$A139)-COUNTIFS('Fault Log'!$B:$B,$A139,'Fault Log'!$I:$I,"Closed"))</f>
        <v/>
      </c>
      <c r="P139" s="17" t="str">
        <f>IF($A139="","",COUNTIF('Fault Log'!$B:$B,$A139))</f>
        <v/>
      </c>
    </row>
    <row r="140" spans="1:16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6"/>
      <c r="M140" s="10"/>
      <c r="N140" s="10"/>
      <c r="O140" s="17" t="str">
        <f>IF($A140="","",COUNTIF('Fault Log'!$B:$B,$A140)-COUNTIFS('Fault Log'!$B:$B,$A140,'Fault Log'!$I:$I,"Closed"))</f>
        <v/>
      </c>
      <c r="P140" s="17" t="str">
        <f>IF($A140="","",COUNTIF('Fault Log'!$B:$B,$A140))</f>
        <v/>
      </c>
    </row>
    <row r="141" spans="1:16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6"/>
      <c r="M141" s="10"/>
      <c r="N141" s="10"/>
      <c r="O141" s="17" t="str">
        <f>IF($A141="","",COUNTIF('Fault Log'!$B:$B,$A141)-COUNTIFS('Fault Log'!$B:$B,$A141,'Fault Log'!$I:$I,"Closed"))</f>
        <v/>
      </c>
      <c r="P141" s="17" t="str">
        <f>IF($A141="","",COUNTIF('Fault Log'!$B:$B,$A141))</f>
        <v/>
      </c>
    </row>
    <row r="142" spans="1:16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6"/>
      <c r="M142" s="10"/>
      <c r="N142" s="10"/>
      <c r="O142" s="17" t="str">
        <f>IF($A142="","",COUNTIF('Fault Log'!$B:$B,$A142)-COUNTIFS('Fault Log'!$B:$B,$A142,'Fault Log'!$I:$I,"Closed"))</f>
        <v/>
      </c>
      <c r="P142" s="17" t="str">
        <f>IF($A142="","",COUNTIF('Fault Log'!$B:$B,$A142))</f>
        <v/>
      </c>
    </row>
    <row r="143" spans="1:16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6"/>
      <c r="M143" s="10"/>
      <c r="N143" s="10"/>
      <c r="O143" s="17" t="str">
        <f>IF($A143="","",COUNTIF('Fault Log'!$B:$B,$A143)-COUNTIFS('Fault Log'!$B:$B,$A143,'Fault Log'!$I:$I,"Closed"))</f>
        <v/>
      </c>
      <c r="P143" s="17" t="str">
        <f>IF($A143="","",COUNTIF('Fault Log'!$B:$B,$A143))</f>
        <v/>
      </c>
    </row>
    <row r="144" spans="1:16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6"/>
      <c r="M144" s="10"/>
      <c r="N144" s="10"/>
      <c r="O144" s="17" t="str">
        <f>IF($A144="","",COUNTIF('Fault Log'!$B:$B,$A144)-COUNTIFS('Fault Log'!$B:$B,$A144,'Fault Log'!$I:$I,"Closed"))</f>
        <v/>
      </c>
      <c r="P144" s="17" t="str">
        <f>IF($A144="","",COUNTIF('Fault Log'!$B:$B,$A144))</f>
        <v/>
      </c>
    </row>
    <row r="145" spans="1:16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6"/>
      <c r="M145" s="10"/>
      <c r="N145" s="10"/>
      <c r="O145" s="17" t="str">
        <f>IF($A145="","",COUNTIF('Fault Log'!$B:$B,$A145)-COUNTIFS('Fault Log'!$B:$B,$A145,'Fault Log'!$I:$I,"Closed"))</f>
        <v/>
      </c>
      <c r="P145" s="17" t="str">
        <f>IF($A145="","",COUNTIF('Fault Log'!$B:$B,$A145))</f>
        <v/>
      </c>
    </row>
    <row r="146" spans="1:16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6"/>
      <c r="M146" s="10"/>
      <c r="N146" s="10"/>
      <c r="O146" s="17" t="str">
        <f>IF($A146="","",COUNTIF('Fault Log'!$B:$B,$A146)-COUNTIFS('Fault Log'!$B:$B,$A146,'Fault Log'!$I:$I,"Closed"))</f>
        <v/>
      </c>
      <c r="P146" s="17" t="str">
        <f>IF($A146="","",COUNTIF('Fault Log'!$B:$B,$A146))</f>
        <v/>
      </c>
    </row>
    <row r="147" spans="1:16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6"/>
      <c r="M147" s="10"/>
      <c r="N147" s="10"/>
      <c r="O147" s="17" t="str">
        <f>IF($A147="","",COUNTIF('Fault Log'!$B:$B,$A147)-COUNTIFS('Fault Log'!$B:$B,$A147,'Fault Log'!$I:$I,"Closed"))</f>
        <v/>
      </c>
      <c r="P147" s="17" t="str">
        <f>IF($A147="","",COUNTIF('Fault Log'!$B:$B,$A147))</f>
        <v/>
      </c>
    </row>
    <row r="148" spans="1:16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6"/>
      <c r="M148" s="10"/>
      <c r="N148" s="10"/>
      <c r="O148" s="17" t="str">
        <f>IF($A148="","",COUNTIF('Fault Log'!$B:$B,$A148)-COUNTIFS('Fault Log'!$B:$B,$A148,'Fault Log'!$I:$I,"Closed"))</f>
        <v/>
      </c>
      <c r="P148" s="17" t="str">
        <f>IF($A148="","",COUNTIF('Fault Log'!$B:$B,$A148))</f>
        <v/>
      </c>
    </row>
    <row r="149" spans="1:16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6"/>
      <c r="M149" s="10"/>
      <c r="N149" s="10"/>
      <c r="O149" s="17" t="str">
        <f>IF($A149="","",COUNTIF('Fault Log'!$B:$B,$A149)-COUNTIFS('Fault Log'!$B:$B,$A149,'Fault Log'!$I:$I,"Closed"))</f>
        <v/>
      </c>
      <c r="P149" s="17" t="str">
        <f>IF($A149="","",COUNTIF('Fault Log'!$B:$B,$A149))</f>
        <v/>
      </c>
    </row>
    <row r="150" spans="1:16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6"/>
      <c r="M150" s="10"/>
      <c r="N150" s="10"/>
      <c r="O150" s="17" t="str">
        <f>IF($A150="","",COUNTIF('Fault Log'!$B:$B,$A150)-COUNTIFS('Fault Log'!$B:$B,$A150,'Fault Log'!$I:$I,"Closed"))</f>
        <v/>
      </c>
      <c r="P150" s="17" t="str">
        <f>IF($A150="","",COUNTIF('Fault Log'!$B:$B,$A150))</f>
        <v/>
      </c>
    </row>
    <row r="151" spans="1:16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6"/>
      <c r="M151" s="10"/>
      <c r="N151" s="10"/>
      <c r="O151" s="17" t="str">
        <f>IF($A151="","",COUNTIF('Fault Log'!$B:$B,$A151)-COUNTIFS('Fault Log'!$B:$B,$A151,'Fault Log'!$I:$I,"Closed"))</f>
        <v/>
      </c>
      <c r="P151" s="17" t="str">
        <f>IF($A151="","",COUNTIF('Fault Log'!$B:$B,$A151))</f>
        <v/>
      </c>
    </row>
    <row r="152" spans="1:16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6"/>
      <c r="M152" s="10"/>
      <c r="N152" s="10"/>
      <c r="O152" s="17" t="str">
        <f>IF($A152="","",COUNTIF('Fault Log'!$B:$B,$A152)-COUNTIFS('Fault Log'!$B:$B,$A152,'Fault Log'!$I:$I,"Closed"))</f>
        <v/>
      </c>
      <c r="P152" s="17" t="str">
        <f>IF($A152="","",COUNTIF('Fault Log'!$B:$B,$A152))</f>
        <v/>
      </c>
    </row>
    <row r="153" spans="1:16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6"/>
      <c r="M153" s="10"/>
      <c r="N153" s="10"/>
      <c r="O153" s="17" t="str">
        <f>IF($A153="","",COUNTIF('Fault Log'!$B:$B,$A153)-COUNTIFS('Fault Log'!$B:$B,$A153,'Fault Log'!$I:$I,"Closed"))</f>
        <v/>
      </c>
      <c r="P153" s="17" t="str">
        <f>IF($A153="","",COUNTIF('Fault Log'!$B:$B,$A153))</f>
        <v/>
      </c>
    </row>
    <row r="154" spans="1:16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6"/>
      <c r="M154" s="10"/>
      <c r="N154" s="10"/>
      <c r="O154" s="17" t="str">
        <f>IF($A154="","",COUNTIF('Fault Log'!$B:$B,$A154)-COUNTIFS('Fault Log'!$B:$B,$A154,'Fault Log'!$I:$I,"Closed"))</f>
        <v/>
      </c>
      <c r="P154" s="17" t="str">
        <f>IF($A154="","",COUNTIF('Fault Log'!$B:$B,$A154))</f>
        <v/>
      </c>
    </row>
    <row r="155" spans="1:16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6"/>
      <c r="M155" s="10"/>
      <c r="N155" s="10"/>
      <c r="O155" s="17" t="str">
        <f>IF($A155="","",COUNTIF('Fault Log'!$B:$B,$A155)-COUNTIFS('Fault Log'!$B:$B,$A155,'Fault Log'!$I:$I,"Closed"))</f>
        <v/>
      </c>
      <c r="P155" s="17" t="str">
        <f>IF($A155="","",COUNTIF('Fault Log'!$B:$B,$A155))</f>
        <v/>
      </c>
    </row>
    <row r="156" spans="1:16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6"/>
      <c r="M156" s="10"/>
      <c r="N156" s="10"/>
      <c r="O156" s="17" t="str">
        <f>IF($A156="","",COUNTIF('Fault Log'!$B:$B,$A156)-COUNTIFS('Fault Log'!$B:$B,$A156,'Fault Log'!$I:$I,"Closed"))</f>
        <v/>
      </c>
      <c r="P156" s="17" t="str">
        <f>IF($A156="","",COUNTIF('Fault Log'!$B:$B,$A156))</f>
        <v/>
      </c>
    </row>
    <row r="157" spans="1:16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6"/>
      <c r="M157" s="10"/>
      <c r="N157" s="10"/>
      <c r="O157" s="17" t="str">
        <f>IF($A157="","",COUNTIF('Fault Log'!$B:$B,$A157)-COUNTIFS('Fault Log'!$B:$B,$A157,'Fault Log'!$I:$I,"Closed"))</f>
        <v/>
      </c>
      <c r="P157" s="17" t="str">
        <f>IF($A157="","",COUNTIF('Fault Log'!$B:$B,$A157))</f>
        <v/>
      </c>
    </row>
    <row r="158" spans="1:16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6"/>
      <c r="M158" s="10"/>
      <c r="N158" s="10"/>
      <c r="O158" s="17" t="str">
        <f>IF($A158="","",COUNTIF('Fault Log'!$B:$B,$A158)-COUNTIFS('Fault Log'!$B:$B,$A158,'Fault Log'!$I:$I,"Closed"))</f>
        <v/>
      </c>
      <c r="P158" s="17" t="str">
        <f>IF($A158="","",COUNTIF('Fault Log'!$B:$B,$A158))</f>
        <v/>
      </c>
    </row>
    <row r="159" spans="1:16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6"/>
      <c r="M159" s="10"/>
      <c r="N159" s="10"/>
      <c r="O159" s="17" t="str">
        <f>IF($A159="","",COUNTIF('Fault Log'!$B:$B,$A159)-COUNTIFS('Fault Log'!$B:$B,$A159,'Fault Log'!$I:$I,"Closed"))</f>
        <v/>
      </c>
      <c r="P159" s="17" t="str">
        <f>IF($A159="","",COUNTIF('Fault Log'!$B:$B,$A159))</f>
        <v/>
      </c>
    </row>
    <row r="160" spans="1:16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6"/>
      <c r="M160" s="10"/>
      <c r="N160" s="10"/>
      <c r="O160" s="17" t="str">
        <f>IF($A160="","",COUNTIF('Fault Log'!$B:$B,$A160)-COUNTIFS('Fault Log'!$B:$B,$A160,'Fault Log'!$I:$I,"Closed"))</f>
        <v/>
      </c>
      <c r="P160" s="17" t="str">
        <f>IF($A160="","",COUNTIF('Fault Log'!$B:$B,$A160))</f>
        <v/>
      </c>
    </row>
    <row r="161" spans="1:16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6"/>
      <c r="M161" s="10"/>
      <c r="N161" s="10"/>
      <c r="O161" s="17" t="str">
        <f>IF($A161="","",COUNTIF('Fault Log'!$B:$B,$A161)-COUNTIFS('Fault Log'!$B:$B,$A161,'Fault Log'!$I:$I,"Closed"))</f>
        <v/>
      </c>
      <c r="P161" s="17" t="str">
        <f>IF($A161="","",COUNTIF('Fault Log'!$B:$B,$A161))</f>
        <v/>
      </c>
    </row>
    <row r="162" spans="1:16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6"/>
      <c r="M162" s="10"/>
      <c r="N162" s="10"/>
      <c r="O162" s="17" t="str">
        <f>IF($A162="","",COUNTIF('Fault Log'!$B:$B,$A162)-COUNTIFS('Fault Log'!$B:$B,$A162,'Fault Log'!$I:$I,"Closed"))</f>
        <v/>
      </c>
      <c r="P162" s="17" t="str">
        <f>IF($A162="","",COUNTIF('Fault Log'!$B:$B,$A162))</f>
        <v/>
      </c>
    </row>
    <row r="163" spans="1:16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6"/>
      <c r="M163" s="10"/>
      <c r="N163" s="10"/>
      <c r="O163" s="17" t="str">
        <f>IF($A163="","",COUNTIF('Fault Log'!$B:$B,$A163)-COUNTIFS('Fault Log'!$B:$B,$A163,'Fault Log'!$I:$I,"Closed"))</f>
        <v/>
      </c>
      <c r="P163" s="17" t="str">
        <f>IF($A163="","",COUNTIF('Fault Log'!$B:$B,$A163))</f>
        <v/>
      </c>
    </row>
    <row r="164" spans="1:16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6"/>
      <c r="M164" s="10"/>
      <c r="N164" s="10"/>
      <c r="O164" s="17" t="str">
        <f>IF($A164="","",COUNTIF('Fault Log'!$B:$B,$A164)-COUNTIFS('Fault Log'!$B:$B,$A164,'Fault Log'!$I:$I,"Closed"))</f>
        <v/>
      </c>
      <c r="P164" s="17" t="str">
        <f>IF($A164="","",COUNTIF('Fault Log'!$B:$B,$A164))</f>
        <v/>
      </c>
    </row>
    <row r="165" spans="1:16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6"/>
      <c r="M165" s="10"/>
      <c r="N165" s="10"/>
      <c r="O165" s="17" t="str">
        <f>IF($A165="","",COUNTIF('Fault Log'!$B:$B,$A165)-COUNTIFS('Fault Log'!$B:$B,$A165,'Fault Log'!$I:$I,"Closed"))</f>
        <v/>
      </c>
      <c r="P165" s="17" t="str">
        <f>IF($A165="","",COUNTIF('Fault Log'!$B:$B,$A165))</f>
        <v/>
      </c>
    </row>
    <row r="166" spans="1:16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6"/>
      <c r="M166" s="10"/>
      <c r="N166" s="10"/>
      <c r="O166" s="17" t="str">
        <f>IF($A166="","",COUNTIF('Fault Log'!$B:$B,$A166)-COUNTIFS('Fault Log'!$B:$B,$A166,'Fault Log'!$I:$I,"Closed"))</f>
        <v/>
      </c>
      <c r="P166" s="17" t="str">
        <f>IF($A166="","",COUNTIF('Fault Log'!$B:$B,$A166))</f>
        <v/>
      </c>
    </row>
    <row r="167" spans="1:16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6"/>
      <c r="M167" s="10"/>
      <c r="N167" s="10"/>
      <c r="O167" s="17" t="str">
        <f>IF($A167="","",COUNTIF('Fault Log'!$B:$B,$A167)-COUNTIFS('Fault Log'!$B:$B,$A167,'Fault Log'!$I:$I,"Closed"))</f>
        <v/>
      </c>
      <c r="P167" s="17" t="str">
        <f>IF($A167="","",COUNTIF('Fault Log'!$B:$B,$A167))</f>
        <v/>
      </c>
    </row>
    <row r="168" spans="1:16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6"/>
      <c r="M168" s="10"/>
      <c r="N168" s="10"/>
      <c r="O168" s="17" t="str">
        <f>IF($A168="","",COUNTIF('Fault Log'!$B:$B,$A168)-COUNTIFS('Fault Log'!$B:$B,$A168,'Fault Log'!$I:$I,"Closed"))</f>
        <v/>
      </c>
      <c r="P168" s="17" t="str">
        <f>IF($A168="","",COUNTIF('Fault Log'!$B:$B,$A168))</f>
        <v/>
      </c>
    </row>
    <row r="169" spans="1:16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6"/>
      <c r="M169" s="10"/>
      <c r="N169" s="10"/>
      <c r="O169" s="17" t="str">
        <f>IF($A169="","",COUNTIF('Fault Log'!$B:$B,$A169)-COUNTIFS('Fault Log'!$B:$B,$A169,'Fault Log'!$I:$I,"Closed"))</f>
        <v/>
      </c>
      <c r="P169" s="17" t="str">
        <f>IF($A169="","",COUNTIF('Fault Log'!$B:$B,$A169))</f>
        <v/>
      </c>
    </row>
    <row r="170" spans="1:16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6"/>
      <c r="M170" s="10"/>
      <c r="N170" s="10"/>
      <c r="O170" s="17" t="str">
        <f>IF($A170="","",COUNTIF('Fault Log'!$B:$B,$A170)-COUNTIFS('Fault Log'!$B:$B,$A170,'Fault Log'!$I:$I,"Closed"))</f>
        <v/>
      </c>
      <c r="P170" s="17" t="str">
        <f>IF($A170="","",COUNTIF('Fault Log'!$B:$B,$A170))</f>
        <v/>
      </c>
    </row>
    <row r="171" spans="1:16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6"/>
      <c r="M171" s="10"/>
      <c r="N171" s="10"/>
      <c r="O171" s="17" t="str">
        <f>IF($A171="","",COUNTIF('Fault Log'!$B:$B,$A171)-COUNTIFS('Fault Log'!$B:$B,$A171,'Fault Log'!$I:$I,"Closed"))</f>
        <v/>
      </c>
      <c r="P171" s="17" t="str">
        <f>IF($A171="","",COUNTIF('Fault Log'!$B:$B,$A171))</f>
        <v/>
      </c>
    </row>
    <row r="172" spans="1:16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6"/>
      <c r="M172" s="10"/>
      <c r="N172" s="10"/>
      <c r="O172" s="17" t="str">
        <f>IF($A172="","",COUNTIF('Fault Log'!$B:$B,$A172)-COUNTIFS('Fault Log'!$B:$B,$A172,'Fault Log'!$I:$I,"Closed"))</f>
        <v/>
      </c>
      <c r="P172" s="17" t="str">
        <f>IF($A172="","",COUNTIF('Fault Log'!$B:$B,$A172))</f>
        <v/>
      </c>
    </row>
    <row r="173" spans="1:16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6"/>
      <c r="M173" s="10"/>
      <c r="N173" s="10"/>
      <c r="O173" s="17" t="str">
        <f>IF($A173="","",COUNTIF('Fault Log'!$B:$B,$A173)-COUNTIFS('Fault Log'!$B:$B,$A173,'Fault Log'!$I:$I,"Closed"))</f>
        <v/>
      </c>
      <c r="P173" s="17" t="str">
        <f>IF($A173="","",COUNTIF('Fault Log'!$B:$B,$A173))</f>
        <v/>
      </c>
    </row>
    <row r="174" spans="1:16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6"/>
      <c r="M174" s="10"/>
      <c r="N174" s="10"/>
      <c r="O174" s="17" t="str">
        <f>IF($A174="","",COUNTIF('Fault Log'!$B:$B,$A174)-COUNTIFS('Fault Log'!$B:$B,$A174,'Fault Log'!$I:$I,"Closed"))</f>
        <v/>
      </c>
      <c r="P174" s="17" t="str">
        <f>IF($A174="","",COUNTIF('Fault Log'!$B:$B,$A174))</f>
        <v/>
      </c>
    </row>
    <row r="175" spans="1:16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6"/>
      <c r="M175" s="10"/>
      <c r="N175" s="10"/>
      <c r="O175" s="17" t="str">
        <f>IF($A175="","",COUNTIF('Fault Log'!$B:$B,$A175)-COUNTIFS('Fault Log'!$B:$B,$A175,'Fault Log'!$I:$I,"Closed"))</f>
        <v/>
      </c>
      <c r="P175" s="17" t="str">
        <f>IF($A175="","",COUNTIF('Fault Log'!$B:$B,$A175))</f>
        <v/>
      </c>
    </row>
    <row r="176" spans="1:16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6"/>
      <c r="M176" s="10"/>
      <c r="N176" s="10"/>
      <c r="O176" s="17" t="str">
        <f>IF($A176="","",COUNTIF('Fault Log'!$B:$B,$A176)-COUNTIFS('Fault Log'!$B:$B,$A176,'Fault Log'!$I:$I,"Closed"))</f>
        <v/>
      </c>
      <c r="P176" s="17" t="str">
        <f>IF($A176="","",COUNTIF('Fault Log'!$B:$B,$A176))</f>
        <v/>
      </c>
    </row>
    <row r="177" spans="1:16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6"/>
      <c r="M177" s="10"/>
      <c r="N177" s="10"/>
      <c r="O177" s="17" t="str">
        <f>IF($A177="","",COUNTIF('Fault Log'!$B:$B,$A177)-COUNTIFS('Fault Log'!$B:$B,$A177,'Fault Log'!$I:$I,"Closed"))</f>
        <v/>
      </c>
      <c r="P177" s="17" t="str">
        <f>IF($A177="","",COUNTIF('Fault Log'!$B:$B,$A177))</f>
        <v/>
      </c>
    </row>
    <row r="178" spans="1:16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6"/>
      <c r="M178" s="10"/>
      <c r="N178" s="10"/>
      <c r="O178" s="17" t="str">
        <f>IF($A178="","",COUNTIF('Fault Log'!$B:$B,$A178)-COUNTIFS('Fault Log'!$B:$B,$A178,'Fault Log'!$I:$I,"Closed"))</f>
        <v/>
      </c>
      <c r="P178" s="17" t="str">
        <f>IF($A178="","",COUNTIF('Fault Log'!$B:$B,$A178))</f>
        <v/>
      </c>
    </row>
    <row r="179" spans="1:16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6"/>
      <c r="M179" s="10"/>
      <c r="N179" s="10"/>
      <c r="O179" s="17" t="str">
        <f>IF($A179="","",COUNTIF('Fault Log'!$B:$B,$A179)-COUNTIFS('Fault Log'!$B:$B,$A179,'Fault Log'!$I:$I,"Closed"))</f>
        <v/>
      </c>
      <c r="P179" s="17" t="str">
        <f>IF($A179="","",COUNTIF('Fault Log'!$B:$B,$A179))</f>
        <v/>
      </c>
    </row>
    <row r="180" spans="1:16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6"/>
      <c r="M180" s="10"/>
      <c r="N180" s="10"/>
      <c r="O180" s="17" t="str">
        <f>IF($A180="","",COUNTIF('Fault Log'!$B:$B,$A180)-COUNTIFS('Fault Log'!$B:$B,$A180,'Fault Log'!$I:$I,"Closed"))</f>
        <v/>
      </c>
      <c r="P180" s="17" t="str">
        <f>IF($A180="","",COUNTIF('Fault Log'!$B:$B,$A180))</f>
        <v/>
      </c>
    </row>
    <row r="181" spans="1:16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6"/>
      <c r="M181" s="10"/>
      <c r="N181" s="10"/>
      <c r="O181" s="17" t="str">
        <f>IF($A181="","",COUNTIF('Fault Log'!$B:$B,$A181)-COUNTIFS('Fault Log'!$B:$B,$A181,'Fault Log'!$I:$I,"Closed"))</f>
        <v/>
      </c>
      <c r="P181" s="17" t="str">
        <f>IF($A181="","",COUNTIF('Fault Log'!$B:$B,$A181))</f>
        <v/>
      </c>
    </row>
    <row r="182" spans="1:16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6"/>
      <c r="M182" s="10"/>
      <c r="N182" s="10"/>
      <c r="O182" s="17" t="str">
        <f>IF($A182="","",COUNTIF('Fault Log'!$B:$B,$A182)-COUNTIFS('Fault Log'!$B:$B,$A182,'Fault Log'!$I:$I,"Closed"))</f>
        <v/>
      </c>
      <c r="P182" s="17" t="str">
        <f>IF($A182="","",COUNTIF('Fault Log'!$B:$B,$A182))</f>
        <v/>
      </c>
    </row>
    <row r="183" spans="1:16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6"/>
      <c r="M183" s="10"/>
      <c r="N183" s="10"/>
      <c r="O183" s="17" t="str">
        <f>IF($A183="","",COUNTIF('Fault Log'!$B:$B,$A183)-COUNTIFS('Fault Log'!$B:$B,$A183,'Fault Log'!$I:$I,"Closed"))</f>
        <v/>
      </c>
      <c r="P183" s="17" t="str">
        <f>IF($A183="","",COUNTIF('Fault Log'!$B:$B,$A183))</f>
        <v/>
      </c>
    </row>
    <row r="184" spans="1:16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6"/>
      <c r="M184" s="10"/>
      <c r="N184" s="10"/>
      <c r="O184" s="17" t="str">
        <f>IF($A184="","",COUNTIF('Fault Log'!$B:$B,$A184)-COUNTIFS('Fault Log'!$B:$B,$A184,'Fault Log'!$I:$I,"Closed"))</f>
        <v/>
      </c>
      <c r="P184" s="17" t="str">
        <f>IF($A184="","",COUNTIF('Fault Log'!$B:$B,$A184))</f>
        <v/>
      </c>
    </row>
    <row r="185" spans="1:16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6"/>
      <c r="M185" s="10"/>
      <c r="N185" s="10"/>
      <c r="O185" s="17" t="str">
        <f>IF($A185="","",COUNTIF('Fault Log'!$B:$B,$A185)-COUNTIFS('Fault Log'!$B:$B,$A185,'Fault Log'!$I:$I,"Closed"))</f>
        <v/>
      </c>
      <c r="P185" s="17" t="str">
        <f>IF($A185="","",COUNTIF('Fault Log'!$B:$B,$A185))</f>
        <v/>
      </c>
    </row>
    <row r="186" spans="1:16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6"/>
      <c r="M186" s="10"/>
      <c r="N186" s="10"/>
      <c r="O186" s="17" t="str">
        <f>IF($A186="","",COUNTIF('Fault Log'!$B:$B,$A186)-COUNTIFS('Fault Log'!$B:$B,$A186,'Fault Log'!$I:$I,"Closed"))</f>
        <v/>
      </c>
      <c r="P186" s="17" t="str">
        <f>IF($A186="","",COUNTIF('Fault Log'!$B:$B,$A186))</f>
        <v/>
      </c>
    </row>
    <row r="187" spans="1:16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6"/>
      <c r="M187" s="10"/>
      <c r="N187" s="10"/>
      <c r="O187" s="17" t="str">
        <f>IF($A187="","",COUNTIF('Fault Log'!$B:$B,$A187)-COUNTIFS('Fault Log'!$B:$B,$A187,'Fault Log'!$I:$I,"Closed"))</f>
        <v/>
      </c>
      <c r="P187" s="17" t="str">
        <f>IF($A187="","",COUNTIF('Fault Log'!$B:$B,$A187))</f>
        <v/>
      </c>
    </row>
    <row r="188" spans="1:16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6"/>
      <c r="M188" s="10"/>
      <c r="N188" s="10"/>
      <c r="O188" s="17" t="str">
        <f>IF($A188="","",COUNTIF('Fault Log'!$B:$B,$A188)-COUNTIFS('Fault Log'!$B:$B,$A188,'Fault Log'!$I:$I,"Closed"))</f>
        <v/>
      </c>
      <c r="P188" s="17" t="str">
        <f>IF($A188="","",COUNTIF('Fault Log'!$B:$B,$A188))</f>
        <v/>
      </c>
    </row>
    <row r="189" spans="1:16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6"/>
      <c r="M189" s="10"/>
      <c r="N189" s="10"/>
      <c r="O189" s="17" t="str">
        <f>IF($A189="","",COUNTIF('Fault Log'!$B:$B,$A189)-COUNTIFS('Fault Log'!$B:$B,$A189,'Fault Log'!$I:$I,"Closed"))</f>
        <v/>
      </c>
      <c r="P189" s="17" t="str">
        <f>IF($A189="","",COUNTIF('Fault Log'!$B:$B,$A189))</f>
        <v/>
      </c>
    </row>
    <row r="190" spans="1:16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6"/>
      <c r="M190" s="10"/>
      <c r="N190" s="10"/>
      <c r="O190" s="17" t="str">
        <f>IF($A190="","",COUNTIF('Fault Log'!$B:$B,$A190)-COUNTIFS('Fault Log'!$B:$B,$A190,'Fault Log'!$I:$I,"Closed"))</f>
        <v/>
      </c>
      <c r="P190" s="17" t="str">
        <f>IF($A190="","",COUNTIF('Fault Log'!$B:$B,$A190))</f>
        <v/>
      </c>
    </row>
    <row r="191" spans="1:16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6"/>
      <c r="M191" s="10"/>
      <c r="N191" s="10"/>
      <c r="O191" s="17" t="str">
        <f>IF($A191="","",COUNTIF('Fault Log'!$B:$B,$A191)-COUNTIFS('Fault Log'!$B:$B,$A191,'Fault Log'!$I:$I,"Closed"))</f>
        <v/>
      </c>
      <c r="P191" s="17" t="str">
        <f>IF($A191="","",COUNTIF('Fault Log'!$B:$B,$A191))</f>
        <v/>
      </c>
    </row>
    <row r="192" spans="1:16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6"/>
      <c r="M192" s="10"/>
      <c r="N192" s="10"/>
      <c r="O192" s="17" t="str">
        <f>IF($A192="","",COUNTIF('Fault Log'!$B:$B,$A192)-COUNTIFS('Fault Log'!$B:$B,$A192,'Fault Log'!$I:$I,"Closed"))</f>
        <v/>
      </c>
      <c r="P192" s="17" t="str">
        <f>IF($A192="","",COUNTIF('Fault Log'!$B:$B,$A192))</f>
        <v/>
      </c>
    </row>
    <row r="193" spans="1:16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6"/>
      <c r="M193" s="10"/>
      <c r="N193" s="10"/>
      <c r="O193" s="17" t="str">
        <f>IF($A193="","",COUNTIF('Fault Log'!$B:$B,$A193)-COUNTIFS('Fault Log'!$B:$B,$A193,'Fault Log'!$I:$I,"Closed"))</f>
        <v/>
      </c>
      <c r="P193" s="17" t="str">
        <f>IF($A193="","",COUNTIF('Fault Log'!$B:$B,$A193))</f>
        <v/>
      </c>
    </row>
    <row r="194" spans="1:16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6"/>
      <c r="M194" s="10"/>
      <c r="N194" s="10"/>
      <c r="O194" s="17" t="str">
        <f>IF($A194="","",COUNTIF('Fault Log'!$B:$B,$A194)-COUNTIFS('Fault Log'!$B:$B,$A194,'Fault Log'!$I:$I,"Closed"))</f>
        <v/>
      </c>
      <c r="P194" s="17" t="str">
        <f>IF($A194="","",COUNTIF('Fault Log'!$B:$B,$A194))</f>
        <v/>
      </c>
    </row>
    <row r="195" spans="1:16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6"/>
      <c r="M195" s="10"/>
      <c r="N195" s="10"/>
      <c r="O195" s="17" t="str">
        <f>IF($A195="","",COUNTIF('Fault Log'!$B:$B,$A195)-COUNTIFS('Fault Log'!$B:$B,$A195,'Fault Log'!$I:$I,"Closed"))</f>
        <v/>
      </c>
      <c r="P195" s="17" t="str">
        <f>IF($A195="","",COUNTIF('Fault Log'!$B:$B,$A195))</f>
        <v/>
      </c>
    </row>
    <row r="196" spans="1:16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6"/>
      <c r="M196" s="10"/>
      <c r="N196" s="10"/>
      <c r="O196" s="17" t="str">
        <f>IF($A196="","",COUNTIF('Fault Log'!$B:$B,$A196)-COUNTIFS('Fault Log'!$B:$B,$A196,'Fault Log'!$I:$I,"Closed"))</f>
        <v/>
      </c>
      <c r="P196" s="17" t="str">
        <f>IF($A196="","",COUNTIF('Fault Log'!$B:$B,$A196))</f>
        <v/>
      </c>
    </row>
    <row r="197" spans="1:16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6"/>
      <c r="M197" s="10"/>
      <c r="N197" s="10"/>
      <c r="O197" s="17" t="str">
        <f>IF($A197="","",COUNTIF('Fault Log'!$B:$B,$A197)-COUNTIFS('Fault Log'!$B:$B,$A197,'Fault Log'!$I:$I,"Closed"))</f>
        <v/>
      </c>
      <c r="P197" s="17" t="str">
        <f>IF($A197="","",COUNTIF('Fault Log'!$B:$B,$A197))</f>
        <v/>
      </c>
    </row>
    <row r="198" spans="1:16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6"/>
      <c r="M198" s="10"/>
      <c r="N198" s="10"/>
      <c r="O198" s="17" t="str">
        <f>IF($A198="","",COUNTIF('Fault Log'!$B:$B,$A198)-COUNTIFS('Fault Log'!$B:$B,$A198,'Fault Log'!$I:$I,"Closed"))</f>
        <v/>
      </c>
      <c r="P198" s="17" t="str">
        <f>IF($A198="","",COUNTIF('Fault Log'!$B:$B,$A198))</f>
        <v/>
      </c>
    </row>
    <row r="199" spans="1:16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6"/>
      <c r="M199" s="10"/>
      <c r="N199" s="10"/>
      <c r="O199" s="17" t="str">
        <f>IF($A199="","",COUNTIF('Fault Log'!$B:$B,$A199)-COUNTIFS('Fault Log'!$B:$B,$A199,'Fault Log'!$I:$I,"Closed"))</f>
        <v/>
      </c>
      <c r="P199" s="17" t="str">
        <f>IF($A199="","",COUNTIF('Fault Log'!$B:$B,$A199))</f>
        <v/>
      </c>
    </row>
    <row r="200" spans="1:16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6"/>
      <c r="M200" s="10"/>
      <c r="N200" s="10"/>
      <c r="O200" s="17" t="str">
        <f>IF($A200="","",COUNTIF('Fault Log'!$B:$B,$A200)-COUNTIFS('Fault Log'!$B:$B,$A200,'Fault Log'!$I:$I,"Closed"))</f>
        <v/>
      </c>
      <c r="P200" s="17" t="str">
        <f>IF($A200="","",COUNTIF('Fault Log'!$B:$B,$A200))</f>
        <v/>
      </c>
    </row>
    <row r="201" spans="1:16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6"/>
      <c r="M201" s="10"/>
      <c r="N201" s="10"/>
      <c r="O201" s="17" t="str">
        <f>IF($A201="","",COUNTIF('Fault Log'!$B:$B,$A201)-COUNTIFS('Fault Log'!$B:$B,$A201,'Fault Log'!$I:$I,"Closed"))</f>
        <v/>
      </c>
      <c r="P201" s="17" t="str">
        <f>IF($A201="","",COUNTIF('Fault Log'!$B:$B,$A201))</f>
        <v/>
      </c>
    </row>
    <row r="202" spans="1:16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6"/>
      <c r="M202" s="10"/>
      <c r="N202" s="10"/>
      <c r="O202" s="17" t="str">
        <f>IF($A202="","",COUNTIF('Fault Log'!$B:$B,$A202)-COUNTIFS('Fault Log'!$B:$B,$A202,'Fault Log'!$I:$I,"Closed"))</f>
        <v/>
      </c>
      <c r="P202" s="17" t="str">
        <f>IF($A202="","",COUNTIF('Fault Log'!$B:$B,$A202))</f>
        <v/>
      </c>
    </row>
    <row r="203" spans="1:16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6"/>
      <c r="M203" s="10"/>
      <c r="N203" s="10"/>
      <c r="O203" s="17" t="str">
        <f>IF($A203="","",COUNTIF('Fault Log'!$B:$B,$A203)-COUNTIFS('Fault Log'!$B:$B,$A203,'Fault Log'!$I:$I,"Closed"))</f>
        <v/>
      </c>
      <c r="P203" s="17" t="str">
        <f>IF($A203="","",COUNTIF('Fault Log'!$B:$B,$A203))</f>
        <v/>
      </c>
    </row>
    <row r="204" spans="1:16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6"/>
      <c r="M204" s="10"/>
      <c r="N204" s="10"/>
      <c r="O204" s="17" t="str">
        <f>IF($A204="","",COUNTIF('Fault Log'!$B:$B,$A204)-COUNTIFS('Fault Log'!$B:$B,$A204,'Fault Log'!$I:$I,"Closed"))</f>
        <v/>
      </c>
      <c r="P204" s="17" t="str">
        <f>IF($A204="","",COUNTIF('Fault Log'!$B:$B,$A204))</f>
        <v/>
      </c>
    </row>
    <row r="205" spans="1:16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6"/>
      <c r="M205" s="10"/>
      <c r="N205" s="10"/>
      <c r="O205" s="17" t="str">
        <f>IF($A205="","",COUNTIF('Fault Log'!$B:$B,$A205)-COUNTIFS('Fault Log'!$B:$B,$A205,'Fault Log'!$I:$I,"Closed"))</f>
        <v/>
      </c>
      <c r="P205" s="17" t="str">
        <f>IF($A205="","",COUNTIF('Fault Log'!$B:$B,$A205))</f>
        <v/>
      </c>
    </row>
    <row r="206" spans="1:16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6"/>
      <c r="M206" s="10"/>
      <c r="N206" s="10"/>
      <c r="O206" s="17" t="str">
        <f>IF($A206="","",COUNTIF('Fault Log'!$B:$B,$A206)-COUNTIFS('Fault Log'!$B:$B,$A206,'Fault Log'!$I:$I,"Closed"))</f>
        <v/>
      </c>
      <c r="P206" s="17" t="str">
        <f>IF($A206="","",COUNTIF('Fault Log'!$B:$B,$A206))</f>
        <v/>
      </c>
    </row>
    <row r="207" spans="1:16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6"/>
      <c r="M207" s="10"/>
      <c r="N207" s="10"/>
      <c r="O207" s="17" t="str">
        <f>IF($A207="","",COUNTIF('Fault Log'!$B:$B,$A207)-COUNTIFS('Fault Log'!$B:$B,$A207,'Fault Log'!$I:$I,"Closed"))</f>
        <v/>
      </c>
      <c r="P207" s="17" t="str">
        <f>IF($A207="","",COUNTIF('Fault Log'!$B:$B,$A207))</f>
        <v/>
      </c>
    </row>
    <row r="208" spans="1:16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6"/>
      <c r="M208" s="10"/>
      <c r="N208" s="10"/>
      <c r="O208" s="17" t="str">
        <f>IF($A208="","",COUNTIF('Fault Log'!$B:$B,$A208)-COUNTIFS('Fault Log'!$B:$B,$A208,'Fault Log'!$I:$I,"Closed"))</f>
        <v/>
      </c>
      <c r="P208" s="17" t="str">
        <f>IF($A208="","",COUNTIF('Fault Log'!$B:$B,$A208))</f>
        <v/>
      </c>
    </row>
    <row r="209" spans="1:16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6"/>
      <c r="M209" s="10"/>
      <c r="N209" s="10"/>
      <c r="O209" s="17" t="str">
        <f>IF($A209="","",COUNTIF('Fault Log'!$B:$B,$A209)-COUNTIFS('Fault Log'!$B:$B,$A209,'Fault Log'!$I:$I,"Closed"))</f>
        <v/>
      </c>
      <c r="P209" s="17" t="str">
        <f>IF($A209="","",COUNTIF('Fault Log'!$B:$B,$A209))</f>
        <v/>
      </c>
    </row>
    <row r="210" spans="1:16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6"/>
      <c r="M210" s="10"/>
      <c r="N210" s="10"/>
      <c r="O210" s="17" t="str">
        <f>IF($A210="","",COUNTIF('Fault Log'!$B:$B,$A210)-COUNTIFS('Fault Log'!$B:$B,$A210,'Fault Log'!$I:$I,"Closed"))</f>
        <v/>
      </c>
      <c r="P210" s="17" t="str">
        <f>IF($A210="","",COUNTIF('Fault Log'!$B:$B,$A210))</f>
        <v/>
      </c>
    </row>
    <row r="211" spans="1:16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6"/>
      <c r="M211" s="10"/>
      <c r="N211" s="10"/>
      <c r="O211" s="17" t="str">
        <f>IF($A211="","",COUNTIF('Fault Log'!$B:$B,$A211)-COUNTIFS('Fault Log'!$B:$B,$A211,'Fault Log'!$I:$I,"Closed"))</f>
        <v/>
      </c>
      <c r="P211" s="17" t="str">
        <f>IF($A211="","",COUNTIF('Fault Log'!$B:$B,$A211))</f>
        <v/>
      </c>
    </row>
    <row r="212" spans="1:16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6"/>
      <c r="M212" s="10"/>
      <c r="N212" s="10"/>
      <c r="O212" s="17" t="str">
        <f>IF($A212="","",COUNTIF('Fault Log'!$B:$B,$A212)-COUNTIFS('Fault Log'!$B:$B,$A212,'Fault Log'!$I:$I,"Closed"))</f>
        <v/>
      </c>
      <c r="P212" s="17" t="str">
        <f>IF($A212="","",COUNTIF('Fault Log'!$B:$B,$A212))</f>
        <v/>
      </c>
    </row>
    <row r="213" spans="1:16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6"/>
      <c r="M213" s="10"/>
      <c r="N213" s="10"/>
      <c r="O213" s="17" t="str">
        <f>IF($A213="","",COUNTIF('Fault Log'!$B:$B,$A213)-COUNTIFS('Fault Log'!$B:$B,$A213,'Fault Log'!$I:$I,"Closed"))</f>
        <v/>
      </c>
      <c r="P213" s="17" t="str">
        <f>IF($A213="","",COUNTIF('Fault Log'!$B:$B,$A213))</f>
        <v/>
      </c>
    </row>
    <row r="214" spans="1:16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6"/>
      <c r="M214" s="10"/>
      <c r="N214" s="10"/>
      <c r="O214" s="17" t="str">
        <f>IF($A214="","",COUNTIF('Fault Log'!$B:$B,$A214)-COUNTIFS('Fault Log'!$B:$B,$A214,'Fault Log'!$I:$I,"Closed"))</f>
        <v/>
      </c>
      <c r="P214" s="17" t="str">
        <f>IF($A214="","",COUNTIF('Fault Log'!$B:$B,$A214))</f>
        <v/>
      </c>
    </row>
    <row r="215" spans="1:16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6"/>
      <c r="M215" s="10"/>
      <c r="N215" s="10"/>
      <c r="O215" s="17" t="str">
        <f>IF($A215="","",COUNTIF('Fault Log'!$B:$B,$A215)-COUNTIFS('Fault Log'!$B:$B,$A215,'Fault Log'!$I:$I,"Closed"))</f>
        <v/>
      </c>
      <c r="P215" s="17" t="str">
        <f>IF($A215="","",COUNTIF('Fault Log'!$B:$B,$A215))</f>
        <v/>
      </c>
    </row>
    <row r="216" spans="1:16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6"/>
      <c r="M216" s="10"/>
      <c r="N216" s="10"/>
      <c r="O216" s="17" t="str">
        <f>IF($A216="","",COUNTIF('Fault Log'!$B:$B,$A216)-COUNTIFS('Fault Log'!$B:$B,$A216,'Fault Log'!$I:$I,"Closed"))</f>
        <v/>
      </c>
      <c r="P216" s="17" t="str">
        <f>IF($A216="","",COUNTIF('Fault Log'!$B:$B,$A216))</f>
        <v/>
      </c>
    </row>
    <row r="217" spans="1:16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6"/>
      <c r="M217" s="10"/>
      <c r="N217" s="10"/>
      <c r="O217" s="17" t="str">
        <f>IF($A217="","",COUNTIF('Fault Log'!$B:$B,$A217)-COUNTIFS('Fault Log'!$B:$B,$A217,'Fault Log'!$I:$I,"Closed"))</f>
        <v/>
      </c>
      <c r="P217" s="17" t="str">
        <f>IF($A217="","",COUNTIF('Fault Log'!$B:$B,$A217))</f>
        <v/>
      </c>
    </row>
    <row r="218" spans="1:16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6"/>
      <c r="M218" s="10"/>
      <c r="N218" s="10"/>
      <c r="O218" s="17" t="str">
        <f>IF($A218="","",COUNTIF('Fault Log'!$B:$B,$A218)-COUNTIFS('Fault Log'!$B:$B,$A218,'Fault Log'!$I:$I,"Closed"))</f>
        <v/>
      </c>
      <c r="P218" s="17" t="str">
        <f>IF($A218="","",COUNTIF('Fault Log'!$B:$B,$A218))</f>
        <v/>
      </c>
    </row>
    <row r="219" spans="1:16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6"/>
      <c r="M219" s="10"/>
      <c r="N219" s="10"/>
      <c r="O219" s="17" t="str">
        <f>IF($A219="","",COUNTIF('Fault Log'!$B:$B,$A219)-COUNTIFS('Fault Log'!$B:$B,$A219,'Fault Log'!$I:$I,"Closed"))</f>
        <v/>
      </c>
      <c r="P219" s="17" t="str">
        <f>IF($A219="","",COUNTIF('Fault Log'!$B:$B,$A219))</f>
        <v/>
      </c>
    </row>
    <row r="220" spans="1:16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6"/>
      <c r="M220" s="10"/>
      <c r="N220" s="10"/>
      <c r="O220" s="17" t="str">
        <f>IF($A220="","",COUNTIF('Fault Log'!$B:$B,$A220)-COUNTIFS('Fault Log'!$B:$B,$A220,'Fault Log'!$I:$I,"Closed"))</f>
        <v/>
      </c>
      <c r="P220" s="17" t="str">
        <f>IF($A220="","",COUNTIF('Fault Log'!$B:$B,$A220))</f>
        <v/>
      </c>
    </row>
    <row r="221" spans="1:16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6"/>
      <c r="M221" s="10"/>
      <c r="N221" s="10"/>
      <c r="O221" s="17" t="str">
        <f>IF($A221="","",COUNTIF('Fault Log'!$B:$B,$A221)-COUNTIFS('Fault Log'!$B:$B,$A221,'Fault Log'!$I:$I,"Closed"))</f>
        <v/>
      </c>
      <c r="P221" s="17" t="str">
        <f>IF($A221="","",COUNTIF('Fault Log'!$B:$B,$A221))</f>
        <v/>
      </c>
    </row>
    <row r="222" spans="1:16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6"/>
      <c r="M222" s="10"/>
      <c r="N222" s="10"/>
      <c r="O222" s="17" t="str">
        <f>IF($A222="","",COUNTIF('Fault Log'!$B:$B,$A222)-COUNTIFS('Fault Log'!$B:$B,$A222,'Fault Log'!$I:$I,"Closed"))</f>
        <v/>
      </c>
      <c r="P222" s="17" t="str">
        <f>IF($A222="","",COUNTIF('Fault Log'!$B:$B,$A222))</f>
        <v/>
      </c>
    </row>
    <row r="223" spans="1:16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6"/>
      <c r="M223" s="10"/>
      <c r="N223" s="10"/>
      <c r="O223" s="17" t="str">
        <f>IF($A223="","",COUNTIF('Fault Log'!$B:$B,$A223)-COUNTIFS('Fault Log'!$B:$B,$A223,'Fault Log'!$I:$I,"Closed"))</f>
        <v/>
      </c>
      <c r="P223" s="17" t="str">
        <f>IF($A223="","",COUNTIF('Fault Log'!$B:$B,$A223))</f>
        <v/>
      </c>
    </row>
    <row r="224" spans="1:16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6"/>
      <c r="M224" s="10"/>
      <c r="N224" s="10"/>
      <c r="O224" s="17" t="str">
        <f>IF($A224="","",COUNTIF('Fault Log'!$B:$B,$A224)-COUNTIFS('Fault Log'!$B:$B,$A224,'Fault Log'!$I:$I,"Closed"))</f>
        <v/>
      </c>
      <c r="P224" s="17" t="str">
        <f>IF($A224="","",COUNTIF('Fault Log'!$B:$B,$A224))</f>
        <v/>
      </c>
    </row>
    <row r="225" spans="1:16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6"/>
      <c r="M225" s="10"/>
      <c r="N225" s="10"/>
      <c r="O225" s="17" t="str">
        <f>IF($A225="","",COUNTIF('Fault Log'!$B:$B,$A225)-COUNTIFS('Fault Log'!$B:$B,$A225,'Fault Log'!$I:$I,"Closed"))</f>
        <v/>
      </c>
      <c r="P225" s="17" t="str">
        <f>IF($A225="","",COUNTIF('Fault Log'!$B:$B,$A225))</f>
        <v/>
      </c>
    </row>
    <row r="226" spans="1:16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6"/>
      <c r="M226" s="10"/>
      <c r="N226" s="10"/>
      <c r="O226" s="17" t="str">
        <f>IF($A226="","",COUNTIF('Fault Log'!$B:$B,$A226)-COUNTIFS('Fault Log'!$B:$B,$A226,'Fault Log'!$I:$I,"Closed"))</f>
        <v/>
      </c>
      <c r="P226" s="17" t="str">
        <f>IF($A226="","",COUNTIF('Fault Log'!$B:$B,$A226))</f>
        <v/>
      </c>
    </row>
    <row r="227" spans="1:16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6"/>
      <c r="M227" s="10"/>
      <c r="N227" s="10"/>
      <c r="O227" s="17" t="str">
        <f>IF($A227="","",COUNTIF('Fault Log'!$B:$B,$A227)-COUNTIFS('Fault Log'!$B:$B,$A227,'Fault Log'!$I:$I,"Closed"))</f>
        <v/>
      </c>
      <c r="P227" s="17" t="str">
        <f>IF($A227="","",COUNTIF('Fault Log'!$B:$B,$A227))</f>
        <v/>
      </c>
    </row>
    <row r="228" spans="1:16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6"/>
      <c r="M228" s="10"/>
      <c r="N228" s="10"/>
      <c r="O228" s="17" t="str">
        <f>IF($A228="","",COUNTIF('Fault Log'!$B:$B,$A228)-COUNTIFS('Fault Log'!$B:$B,$A228,'Fault Log'!$I:$I,"Closed"))</f>
        <v/>
      </c>
      <c r="P228" s="17" t="str">
        <f>IF($A228="","",COUNTIF('Fault Log'!$B:$B,$A228))</f>
        <v/>
      </c>
    </row>
    <row r="229" spans="1:16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6"/>
      <c r="M229" s="10"/>
      <c r="N229" s="10"/>
      <c r="O229" s="17" t="str">
        <f>IF($A229="","",COUNTIF('Fault Log'!$B:$B,$A229)-COUNTIFS('Fault Log'!$B:$B,$A229,'Fault Log'!$I:$I,"Closed"))</f>
        <v/>
      </c>
      <c r="P229" s="17" t="str">
        <f>IF($A229="","",COUNTIF('Fault Log'!$B:$B,$A229))</f>
        <v/>
      </c>
    </row>
    <row r="230" spans="1:16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6"/>
      <c r="M230" s="10"/>
      <c r="N230" s="10"/>
      <c r="O230" s="17" t="str">
        <f>IF($A230="","",COUNTIF('Fault Log'!$B:$B,$A230)-COUNTIFS('Fault Log'!$B:$B,$A230,'Fault Log'!$I:$I,"Closed"))</f>
        <v/>
      </c>
      <c r="P230" s="17" t="str">
        <f>IF($A230="","",COUNTIF('Fault Log'!$B:$B,$A230))</f>
        <v/>
      </c>
    </row>
    <row r="231" spans="1:16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6"/>
      <c r="M231" s="10"/>
      <c r="N231" s="10"/>
      <c r="O231" s="17" t="str">
        <f>IF($A231="","",COUNTIF('Fault Log'!$B:$B,$A231)-COUNTIFS('Fault Log'!$B:$B,$A231,'Fault Log'!$I:$I,"Closed"))</f>
        <v/>
      </c>
      <c r="P231" s="17" t="str">
        <f>IF($A231="","",COUNTIF('Fault Log'!$B:$B,$A231))</f>
        <v/>
      </c>
    </row>
    <row r="232" spans="1:16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6"/>
      <c r="M232" s="10"/>
      <c r="N232" s="10"/>
      <c r="O232" s="17" t="str">
        <f>IF($A232="","",COUNTIF('Fault Log'!$B:$B,$A232)-COUNTIFS('Fault Log'!$B:$B,$A232,'Fault Log'!$I:$I,"Closed"))</f>
        <v/>
      </c>
      <c r="P232" s="17" t="str">
        <f>IF($A232="","",COUNTIF('Fault Log'!$B:$B,$A232))</f>
        <v/>
      </c>
    </row>
    <row r="233" spans="1:16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6"/>
      <c r="M233" s="10"/>
      <c r="N233" s="10"/>
      <c r="O233" s="17" t="str">
        <f>IF($A233="","",COUNTIF('Fault Log'!$B:$B,$A233)-COUNTIFS('Fault Log'!$B:$B,$A233,'Fault Log'!$I:$I,"Closed"))</f>
        <v/>
      </c>
      <c r="P233" s="17" t="str">
        <f>IF($A233="","",COUNTIF('Fault Log'!$B:$B,$A233))</f>
        <v/>
      </c>
    </row>
    <row r="234" spans="1:16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6"/>
      <c r="M234" s="10"/>
      <c r="N234" s="10"/>
      <c r="O234" s="17" t="str">
        <f>IF($A234="","",COUNTIF('Fault Log'!$B:$B,$A234)-COUNTIFS('Fault Log'!$B:$B,$A234,'Fault Log'!$I:$I,"Closed"))</f>
        <v/>
      </c>
      <c r="P234" s="17" t="str">
        <f>IF($A234="","",COUNTIF('Fault Log'!$B:$B,$A234))</f>
        <v/>
      </c>
    </row>
    <row r="235" spans="1:16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6"/>
      <c r="M235" s="10"/>
      <c r="N235" s="10"/>
      <c r="O235" s="17" t="str">
        <f>IF($A235="","",COUNTIF('Fault Log'!$B:$B,$A235)-COUNTIFS('Fault Log'!$B:$B,$A235,'Fault Log'!$I:$I,"Closed"))</f>
        <v/>
      </c>
      <c r="P235" s="17" t="str">
        <f>IF($A235="","",COUNTIF('Fault Log'!$B:$B,$A235))</f>
        <v/>
      </c>
    </row>
    <row r="236" spans="1:16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6"/>
      <c r="M236" s="10"/>
      <c r="N236" s="10"/>
      <c r="O236" s="17" t="str">
        <f>IF($A236="","",COUNTIF('Fault Log'!$B:$B,$A236)-COUNTIFS('Fault Log'!$B:$B,$A236,'Fault Log'!$I:$I,"Closed"))</f>
        <v/>
      </c>
      <c r="P236" s="17" t="str">
        <f>IF($A236="","",COUNTIF('Fault Log'!$B:$B,$A236))</f>
        <v/>
      </c>
    </row>
    <row r="237" spans="1:16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6"/>
      <c r="M237" s="10"/>
      <c r="N237" s="10"/>
      <c r="O237" s="17" t="str">
        <f>IF($A237="","",COUNTIF('Fault Log'!$B:$B,$A237)-COUNTIFS('Fault Log'!$B:$B,$A237,'Fault Log'!$I:$I,"Closed"))</f>
        <v/>
      </c>
      <c r="P237" s="17" t="str">
        <f>IF($A237="","",COUNTIF('Fault Log'!$B:$B,$A237))</f>
        <v/>
      </c>
    </row>
    <row r="238" spans="1:16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6"/>
      <c r="M238" s="10"/>
      <c r="N238" s="10"/>
      <c r="O238" s="17" t="str">
        <f>IF($A238="","",COUNTIF('Fault Log'!$B:$B,$A238)-COUNTIFS('Fault Log'!$B:$B,$A238,'Fault Log'!$I:$I,"Closed"))</f>
        <v/>
      </c>
      <c r="P238" s="17" t="str">
        <f>IF($A238="","",COUNTIF('Fault Log'!$B:$B,$A238))</f>
        <v/>
      </c>
    </row>
    <row r="239" spans="1:16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6"/>
      <c r="M239" s="10"/>
      <c r="N239" s="10"/>
      <c r="O239" s="17" t="str">
        <f>IF($A239="","",COUNTIF('Fault Log'!$B:$B,$A239)-COUNTIFS('Fault Log'!$B:$B,$A239,'Fault Log'!$I:$I,"Closed"))</f>
        <v/>
      </c>
      <c r="P239" s="17" t="str">
        <f>IF($A239="","",COUNTIF('Fault Log'!$B:$B,$A239))</f>
        <v/>
      </c>
    </row>
    <row r="240" spans="1:16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6"/>
      <c r="M240" s="10"/>
      <c r="N240" s="10"/>
      <c r="O240" s="17" t="str">
        <f>IF($A240="","",COUNTIF('Fault Log'!$B:$B,$A240)-COUNTIFS('Fault Log'!$B:$B,$A240,'Fault Log'!$I:$I,"Closed"))</f>
        <v/>
      </c>
      <c r="P240" s="17" t="str">
        <f>IF($A240="","",COUNTIF('Fault Log'!$B:$B,$A240))</f>
        <v/>
      </c>
    </row>
    <row r="241" spans="1:16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6"/>
      <c r="M241" s="10"/>
      <c r="N241" s="10"/>
      <c r="O241" s="17" t="str">
        <f>IF($A241="","",COUNTIF('Fault Log'!$B:$B,$A241)-COUNTIFS('Fault Log'!$B:$B,$A241,'Fault Log'!$I:$I,"Closed"))</f>
        <v/>
      </c>
      <c r="P241" s="17" t="str">
        <f>IF($A241="","",COUNTIF('Fault Log'!$B:$B,$A241))</f>
        <v/>
      </c>
    </row>
    <row r="242" spans="1:16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6"/>
      <c r="M242" s="10"/>
      <c r="N242" s="10"/>
      <c r="O242" s="17" t="str">
        <f>IF($A242="","",COUNTIF('Fault Log'!$B:$B,$A242)-COUNTIFS('Fault Log'!$B:$B,$A242,'Fault Log'!$I:$I,"Closed"))</f>
        <v/>
      </c>
      <c r="P242" s="17" t="str">
        <f>IF($A242="","",COUNTIF('Fault Log'!$B:$B,$A242))</f>
        <v/>
      </c>
    </row>
    <row r="243" spans="1:16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6"/>
      <c r="M243" s="10"/>
      <c r="N243" s="10"/>
      <c r="O243" s="17" t="str">
        <f>IF($A243="","",COUNTIF('Fault Log'!$B:$B,$A243)-COUNTIFS('Fault Log'!$B:$B,$A243,'Fault Log'!$I:$I,"Closed"))</f>
        <v/>
      </c>
      <c r="P243" s="17" t="str">
        <f>IF($A243="","",COUNTIF('Fault Log'!$B:$B,$A243))</f>
        <v/>
      </c>
    </row>
    <row r="244" spans="1:16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6"/>
      <c r="M244" s="10"/>
      <c r="N244" s="10"/>
      <c r="O244" s="17" t="str">
        <f>IF($A244="","",COUNTIF('Fault Log'!$B:$B,$A244)-COUNTIFS('Fault Log'!$B:$B,$A244,'Fault Log'!$I:$I,"Closed"))</f>
        <v/>
      </c>
      <c r="P244" s="17" t="str">
        <f>IF($A244="","",COUNTIF('Fault Log'!$B:$B,$A244))</f>
        <v/>
      </c>
    </row>
    <row r="245" spans="1:16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6"/>
      <c r="M245" s="10"/>
      <c r="N245" s="10"/>
      <c r="O245" s="17" t="str">
        <f>IF($A245="","",COUNTIF('Fault Log'!$B:$B,$A245)-COUNTIFS('Fault Log'!$B:$B,$A245,'Fault Log'!$I:$I,"Closed"))</f>
        <v/>
      </c>
      <c r="P245" s="17" t="str">
        <f>IF($A245="","",COUNTIF('Fault Log'!$B:$B,$A245))</f>
        <v/>
      </c>
    </row>
    <row r="246" spans="1:16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6"/>
      <c r="M246" s="10"/>
      <c r="N246" s="10"/>
      <c r="O246" s="17" t="str">
        <f>IF($A246="","",COUNTIF('Fault Log'!$B:$B,$A246)-COUNTIFS('Fault Log'!$B:$B,$A246,'Fault Log'!$I:$I,"Closed"))</f>
        <v/>
      </c>
      <c r="P246" s="17" t="str">
        <f>IF($A246="","",COUNTIF('Fault Log'!$B:$B,$A246))</f>
        <v/>
      </c>
    </row>
    <row r="247" spans="1:16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6"/>
      <c r="M247" s="10"/>
      <c r="N247" s="10"/>
      <c r="O247" s="17" t="str">
        <f>IF($A247="","",COUNTIF('Fault Log'!$B:$B,$A247)-COUNTIFS('Fault Log'!$B:$B,$A247,'Fault Log'!$I:$I,"Closed"))</f>
        <v/>
      </c>
      <c r="P247" s="17" t="str">
        <f>IF($A247="","",COUNTIF('Fault Log'!$B:$B,$A247))</f>
        <v/>
      </c>
    </row>
    <row r="248" spans="1:16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6"/>
      <c r="M248" s="10"/>
      <c r="N248" s="10"/>
      <c r="O248" s="17" t="str">
        <f>IF($A248="","",COUNTIF('Fault Log'!$B:$B,$A248)-COUNTIFS('Fault Log'!$B:$B,$A248,'Fault Log'!$I:$I,"Closed"))</f>
        <v/>
      </c>
      <c r="P248" s="17" t="str">
        <f>IF($A248="","",COUNTIF('Fault Log'!$B:$B,$A248))</f>
        <v/>
      </c>
    </row>
    <row r="249" spans="1:16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6"/>
      <c r="M249" s="10"/>
      <c r="N249" s="10"/>
      <c r="O249" s="17" t="str">
        <f>IF($A249="","",COUNTIF('Fault Log'!$B:$B,$A249)-COUNTIFS('Fault Log'!$B:$B,$A249,'Fault Log'!$I:$I,"Closed"))</f>
        <v/>
      </c>
      <c r="P249" s="17" t="str">
        <f>IF($A249="","",COUNTIF('Fault Log'!$B:$B,$A249))</f>
        <v/>
      </c>
    </row>
    <row r="250" spans="1:16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6"/>
      <c r="M250" s="10"/>
      <c r="N250" s="10"/>
      <c r="O250" s="17" t="str">
        <f>IF($A250="","",COUNTIF('Fault Log'!$B:$B,$A250)-COUNTIFS('Fault Log'!$B:$B,$A250,'Fault Log'!$I:$I,"Closed"))</f>
        <v/>
      </c>
      <c r="P250" s="17" t="str">
        <f>IF($A250="","",COUNTIF('Fault Log'!$B:$B,$A250))</f>
        <v/>
      </c>
    </row>
    <row r="251" spans="1:16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6"/>
      <c r="M251" s="10"/>
      <c r="N251" s="10"/>
      <c r="O251" s="17" t="str">
        <f>IF($A251="","",COUNTIF('Fault Log'!$B:$B,$A251)-COUNTIFS('Fault Log'!$B:$B,$A251,'Fault Log'!$I:$I,"Closed"))</f>
        <v/>
      </c>
      <c r="P251" s="17" t="str">
        <f>IF($A251="","",COUNTIF('Fault Log'!$B:$B,$A251))</f>
        <v/>
      </c>
    </row>
    <row r="252" spans="1:16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6"/>
      <c r="M252" s="10"/>
      <c r="N252" s="10"/>
      <c r="O252" s="17" t="str">
        <f>IF($A252="","",COUNTIF('Fault Log'!$B:$B,$A252)-COUNTIFS('Fault Log'!$B:$B,$A252,'Fault Log'!$I:$I,"Closed"))</f>
        <v/>
      </c>
      <c r="P252" s="17" t="str">
        <f>IF($A252="","",COUNTIF('Fault Log'!$B:$B,$A252))</f>
        <v/>
      </c>
    </row>
    <row r="253" spans="1:16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6"/>
      <c r="M253" s="10"/>
      <c r="N253" s="10"/>
      <c r="O253" s="17" t="str">
        <f>IF($A253="","",COUNTIF('Fault Log'!$B:$B,$A253)-COUNTIFS('Fault Log'!$B:$B,$A253,'Fault Log'!$I:$I,"Closed"))</f>
        <v/>
      </c>
      <c r="P253" s="17" t="str">
        <f>IF($A253="","",COUNTIF('Fault Log'!$B:$B,$A253))</f>
        <v/>
      </c>
    </row>
    <row r="254" spans="1:16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6"/>
      <c r="M254" s="10"/>
      <c r="N254" s="10"/>
      <c r="O254" s="17" t="str">
        <f>IF($A254="","",COUNTIF('Fault Log'!$B:$B,$A254)-COUNTIFS('Fault Log'!$B:$B,$A254,'Fault Log'!$I:$I,"Closed"))</f>
        <v/>
      </c>
      <c r="P254" s="17" t="str">
        <f>IF($A254="","",COUNTIF('Fault Log'!$B:$B,$A254))</f>
        <v/>
      </c>
    </row>
    <row r="255" spans="1:16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6"/>
      <c r="M255" s="10"/>
      <c r="N255" s="10"/>
      <c r="O255" s="17" t="str">
        <f>IF($A255="","",COUNTIF('Fault Log'!$B:$B,$A255)-COUNTIFS('Fault Log'!$B:$B,$A255,'Fault Log'!$I:$I,"Closed"))</f>
        <v/>
      </c>
      <c r="P255" s="17" t="str">
        <f>IF($A255="","",COUNTIF('Fault Log'!$B:$B,$A255))</f>
        <v/>
      </c>
    </row>
    <row r="256" spans="1:16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6"/>
      <c r="M256" s="10"/>
      <c r="N256" s="10"/>
      <c r="O256" s="17" t="str">
        <f>IF($A256="","",COUNTIF('Fault Log'!$B:$B,$A256)-COUNTIFS('Fault Log'!$B:$B,$A256,'Fault Log'!$I:$I,"Closed"))</f>
        <v/>
      </c>
      <c r="P256" s="17" t="str">
        <f>IF($A256="","",COUNTIF('Fault Log'!$B:$B,$A256))</f>
        <v/>
      </c>
    </row>
    <row r="257" spans="1:16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6"/>
      <c r="M257" s="10"/>
      <c r="N257" s="10"/>
      <c r="O257" s="17" t="str">
        <f>IF($A257="","",COUNTIF('Fault Log'!$B:$B,$A257)-COUNTIFS('Fault Log'!$B:$B,$A257,'Fault Log'!$I:$I,"Closed"))</f>
        <v/>
      </c>
      <c r="P257" s="17" t="str">
        <f>IF($A257="","",COUNTIF('Fault Log'!$B:$B,$A257))</f>
        <v/>
      </c>
    </row>
    <row r="258" spans="1:16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6"/>
      <c r="M258" s="10"/>
      <c r="N258" s="10"/>
      <c r="O258" s="17" t="str">
        <f>IF($A258="","",COUNTIF('Fault Log'!$B:$B,$A258)-COUNTIFS('Fault Log'!$B:$B,$A258,'Fault Log'!$I:$I,"Closed"))</f>
        <v/>
      </c>
      <c r="P258" s="17" t="str">
        <f>IF($A258="","",COUNTIF('Fault Log'!$B:$B,$A258))</f>
        <v/>
      </c>
    </row>
    <row r="259" spans="1:16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6"/>
      <c r="M259" s="10"/>
      <c r="N259" s="10"/>
      <c r="O259" s="17" t="str">
        <f>IF($A259="","",COUNTIF('Fault Log'!$B:$B,$A259)-COUNTIFS('Fault Log'!$B:$B,$A259,'Fault Log'!$I:$I,"Closed"))</f>
        <v/>
      </c>
      <c r="P259" s="17" t="str">
        <f>IF($A259="","",COUNTIF('Fault Log'!$B:$B,$A259))</f>
        <v/>
      </c>
    </row>
    <row r="260" spans="1:16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6"/>
      <c r="M260" s="10"/>
      <c r="N260" s="10"/>
      <c r="O260" s="17" t="str">
        <f>IF($A260="","",COUNTIF('Fault Log'!$B:$B,$A260)-COUNTIFS('Fault Log'!$B:$B,$A260,'Fault Log'!$I:$I,"Closed"))</f>
        <v/>
      </c>
      <c r="P260" s="17" t="str">
        <f>IF($A260="","",COUNTIF('Fault Log'!$B:$B,$A260))</f>
        <v/>
      </c>
    </row>
    <row r="261" spans="1:16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6"/>
      <c r="M261" s="10"/>
      <c r="N261" s="10"/>
      <c r="O261" s="17" t="str">
        <f>IF($A261="","",COUNTIF('Fault Log'!$B:$B,$A261)-COUNTIFS('Fault Log'!$B:$B,$A261,'Fault Log'!$I:$I,"Closed"))</f>
        <v/>
      </c>
      <c r="P261" s="17" t="str">
        <f>IF($A261="","",COUNTIF('Fault Log'!$B:$B,$A261))</f>
        <v/>
      </c>
    </row>
    <row r="262" spans="1:16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6"/>
      <c r="M262" s="10"/>
      <c r="N262" s="10"/>
      <c r="O262" s="17" t="str">
        <f>IF($A262="","",COUNTIF('Fault Log'!$B:$B,$A262)-COUNTIFS('Fault Log'!$B:$B,$A262,'Fault Log'!$I:$I,"Closed"))</f>
        <v/>
      </c>
      <c r="P262" s="17" t="str">
        <f>IF($A262="","",COUNTIF('Fault Log'!$B:$B,$A262))</f>
        <v/>
      </c>
    </row>
    <row r="263" spans="1:16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6"/>
      <c r="M263" s="10"/>
      <c r="N263" s="10"/>
      <c r="O263" s="17" t="str">
        <f>IF($A263="","",COUNTIF('Fault Log'!$B:$B,$A263)-COUNTIFS('Fault Log'!$B:$B,$A263,'Fault Log'!$I:$I,"Closed"))</f>
        <v/>
      </c>
      <c r="P263" s="17" t="str">
        <f>IF($A263="","",COUNTIF('Fault Log'!$B:$B,$A263))</f>
        <v/>
      </c>
    </row>
    <row r="264" spans="1:16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6"/>
      <c r="M264" s="10"/>
      <c r="N264" s="10"/>
      <c r="O264" s="17" t="str">
        <f>IF($A264="","",COUNTIF('Fault Log'!$B:$B,$A264)-COUNTIFS('Fault Log'!$B:$B,$A264,'Fault Log'!$I:$I,"Closed"))</f>
        <v/>
      </c>
      <c r="P264" s="17" t="str">
        <f>IF($A264="","",COUNTIF('Fault Log'!$B:$B,$A264))</f>
        <v/>
      </c>
    </row>
    <row r="265" spans="1:16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6"/>
      <c r="M265" s="10"/>
      <c r="N265" s="10"/>
      <c r="O265" s="17" t="str">
        <f>IF($A265="","",COUNTIF('Fault Log'!$B:$B,$A265)-COUNTIFS('Fault Log'!$B:$B,$A265,'Fault Log'!$I:$I,"Closed"))</f>
        <v/>
      </c>
      <c r="P265" s="17" t="str">
        <f>IF($A265="","",COUNTIF('Fault Log'!$B:$B,$A265))</f>
        <v/>
      </c>
    </row>
    <row r="266" spans="1:16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6"/>
      <c r="M266" s="10"/>
      <c r="N266" s="10"/>
      <c r="O266" s="17" t="str">
        <f>IF($A266="","",COUNTIF('Fault Log'!$B:$B,$A266)-COUNTIFS('Fault Log'!$B:$B,$A266,'Fault Log'!$I:$I,"Closed"))</f>
        <v/>
      </c>
      <c r="P266" s="17" t="str">
        <f>IF($A266="","",COUNTIF('Fault Log'!$B:$B,$A266))</f>
        <v/>
      </c>
    </row>
    <row r="267" spans="1:16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6"/>
      <c r="M267" s="10"/>
      <c r="N267" s="10"/>
      <c r="O267" s="17" t="str">
        <f>IF($A267="","",COUNTIF('Fault Log'!$B:$B,$A267)-COUNTIFS('Fault Log'!$B:$B,$A267,'Fault Log'!$I:$I,"Closed"))</f>
        <v/>
      </c>
      <c r="P267" s="17" t="str">
        <f>IF($A267="","",COUNTIF('Fault Log'!$B:$B,$A267))</f>
        <v/>
      </c>
    </row>
    <row r="268" spans="1:16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6"/>
      <c r="M268" s="10"/>
      <c r="N268" s="10"/>
      <c r="O268" s="17" t="str">
        <f>IF($A268="","",COUNTIF('Fault Log'!$B:$B,$A268)-COUNTIFS('Fault Log'!$B:$B,$A268,'Fault Log'!$I:$I,"Closed"))</f>
        <v/>
      </c>
      <c r="P268" s="17" t="str">
        <f>IF($A268="","",COUNTIF('Fault Log'!$B:$B,$A268))</f>
        <v/>
      </c>
    </row>
    <row r="269" spans="1:16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6"/>
      <c r="M269" s="10"/>
      <c r="N269" s="10"/>
      <c r="O269" s="17" t="str">
        <f>IF($A269="","",COUNTIF('Fault Log'!$B:$B,$A269)-COUNTIFS('Fault Log'!$B:$B,$A269,'Fault Log'!$I:$I,"Closed"))</f>
        <v/>
      </c>
      <c r="P269" s="17" t="str">
        <f>IF($A269="","",COUNTIF('Fault Log'!$B:$B,$A269))</f>
        <v/>
      </c>
    </row>
    <row r="270" spans="1:16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6"/>
      <c r="M270" s="10"/>
      <c r="N270" s="10"/>
      <c r="O270" s="17" t="str">
        <f>IF($A270="","",COUNTIF('Fault Log'!$B:$B,$A270)-COUNTIFS('Fault Log'!$B:$B,$A270,'Fault Log'!$I:$I,"Closed"))</f>
        <v/>
      </c>
      <c r="P270" s="17" t="str">
        <f>IF($A270="","",COUNTIF('Fault Log'!$B:$B,$A270))</f>
        <v/>
      </c>
    </row>
    <row r="271" spans="1:16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6"/>
      <c r="M271" s="10"/>
      <c r="N271" s="10"/>
      <c r="O271" s="17" t="str">
        <f>IF($A271="","",COUNTIF('Fault Log'!$B:$B,$A271)-COUNTIFS('Fault Log'!$B:$B,$A271,'Fault Log'!$I:$I,"Closed"))</f>
        <v/>
      </c>
      <c r="P271" s="17" t="str">
        <f>IF($A271="","",COUNTIF('Fault Log'!$B:$B,$A271))</f>
        <v/>
      </c>
    </row>
    <row r="272" spans="1:16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6"/>
      <c r="M272" s="10"/>
      <c r="N272" s="10"/>
      <c r="O272" s="17" t="str">
        <f>IF($A272="","",COUNTIF('Fault Log'!$B:$B,$A272)-COUNTIFS('Fault Log'!$B:$B,$A272,'Fault Log'!$I:$I,"Closed"))</f>
        <v/>
      </c>
      <c r="P272" s="17" t="str">
        <f>IF($A272="","",COUNTIF('Fault Log'!$B:$B,$A272))</f>
        <v/>
      </c>
    </row>
    <row r="273" spans="1:16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6"/>
      <c r="M273" s="10"/>
      <c r="N273" s="10"/>
      <c r="O273" s="17" t="str">
        <f>IF($A273="","",COUNTIF('Fault Log'!$B:$B,$A273)-COUNTIFS('Fault Log'!$B:$B,$A273,'Fault Log'!$I:$I,"Closed"))</f>
        <v/>
      </c>
      <c r="P273" s="17" t="str">
        <f>IF($A273="","",COUNTIF('Fault Log'!$B:$B,$A273))</f>
        <v/>
      </c>
    </row>
    <row r="274" spans="1:16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6"/>
      <c r="M274" s="10"/>
      <c r="N274" s="10"/>
      <c r="O274" s="17" t="str">
        <f>IF($A274="","",COUNTIF('Fault Log'!$B:$B,$A274)-COUNTIFS('Fault Log'!$B:$B,$A274,'Fault Log'!$I:$I,"Closed"))</f>
        <v/>
      </c>
      <c r="P274" s="17" t="str">
        <f>IF($A274="","",COUNTIF('Fault Log'!$B:$B,$A274))</f>
        <v/>
      </c>
    </row>
    <row r="275" spans="1:16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6"/>
      <c r="M275" s="10"/>
      <c r="N275" s="10"/>
      <c r="O275" s="17" t="str">
        <f>IF($A275="","",COUNTIF('Fault Log'!$B:$B,$A275)-COUNTIFS('Fault Log'!$B:$B,$A275,'Fault Log'!$I:$I,"Closed"))</f>
        <v/>
      </c>
      <c r="P275" s="17" t="str">
        <f>IF($A275="","",COUNTIF('Fault Log'!$B:$B,$A275))</f>
        <v/>
      </c>
    </row>
    <row r="276" spans="1:16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6"/>
      <c r="M276" s="10"/>
      <c r="N276" s="10"/>
      <c r="O276" s="17" t="str">
        <f>IF($A276="","",COUNTIF('Fault Log'!$B:$B,$A276)-COUNTIFS('Fault Log'!$B:$B,$A276,'Fault Log'!$I:$I,"Closed"))</f>
        <v/>
      </c>
      <c r="P276" s="17" t="str">
        <f>IF($A276="","",COUNTIF('Fault Log'!$B:$B,$A276))</f>
        <v/>
      </c>
    </row>
    <row r="277" spans="1:16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6"/>
      <c r="M277" s="10"/>
      <c r="N277" s="10"/>
      <c r="O277" s="17" t="str">
        <f>IF($A277="","",COUNTIF('Fault Log'!$B:$B,$A277)-COUNTIFS('Fault Log'!$B:$B,$A277,'Fault Log'!$I:$I,"Closed"))</f>
        <v/>
      </c>
      <c r="P277" s="17" t="str">
        <f>IF($A277="","",COUNTIF('Fault Log'!$B:$B,$A277))</f>
        <v/>
      </c>
    </row>
    <row r="278" spans="1:16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6"/>
      <c r="M278" s="10"/>
      <c r="N278" s="10"/>
      <c r="O278" s="17" t="str">
        <f>IF($A278="","",COUNTIF('Fault Log'!$B:$B,$A278)-COUNTIFS('Fault Log'!$B:$B,$A278,'Fault Log'!$I:$I,"Closed"))</f>
        <v/>
      </c>
      <c r="P278" s="17" t="str">
        <f>IF($A278="","",COUNTIF('Fault Log'!$B:$B,$A278))</f>
        <v/>
      </c>
    </row>
    <row r="279" spans="1:16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6"/>
      <c r="M279" s="10"/>
      <c r="N279" s="10"/>
      <c r="O279" s="17" t="str">
        <f>IF($A279="","",COUNTIF('Fault Log'!$B:$B,$A279)-COUNTIFS('Fault Log'!$B:$B,$A279,'Fault Log'!$I:$I,"Closed"))</f>
        <v/>
      </c>
      <c r="P279" s="17" t="str">
        <f>IF($A279="","",COUNTIF('Fault Log'!$B:$B,$A279))</f>
        <v/>
      </c>
    </row>
    <row r="280" spans="1:16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6"/>
      <c r="M280" s="10"/>
      <c r="N280" s="10"/>
      <c r="O280" s="17" t="str">
        <f>IF($A280="","",COUNTIF('Fault Log'!$B:$B,$A280)-COUNTIFS('Fault Log'!$B:$B,$A280,'Fault Log'!$I:$I,"Closed"))</f>
        <v/>
      </c>
      <c r="P280" s="17" t="str">
        <f>IF($A280="","",COUNTIF('Fault Log'!$B:$B,$A280))</f>
        <v/>
      </c>
    </row>
    <row r="281" spans="1:16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6"/>
      <c r="M281" s="10"/>
      <c r="N281" s="10"/>
      <c r="O281" s="17" t="str">
        <f>IF($A281="","",COUNTIF('Fault Log'!$B:$B,$A281)-COUNTIFS('Fault Log'!$B:$B,$A281,'Fault Log'!$I:$I,"Closed"))</f>
        <v/>
      </c>
      <c r="P281" s="17" t="str">
        <f>IF($A281="","",COUNTIF('Fault Log'!$B:$B,$A281))</f>
        <v/>
      </c>
    </row>
    <row r="282" spans="1:16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6"/>
      <c r="M282" s="10"/>
      <c r="N282" s="10"/>
      <c r="O282" s="17" t="str">
        <f>IF($A282="","",COUNTIF('Fault Log'!$B:$B,$A282)-COUNTIFS('Fault Log'!$B:$B,$A282,'Fault Log'!$I:$I,"Closed"))</f>
        <v/>
      </c>
      <c r="P282" s="17" t="str">
        <f>IF($A282="","",COUNTIF('Fault Log'!$B:$B,$A282))</f>
        <v/>
      </c>
    </row>
    <row r="283" spans="1:16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6"/>
      <c r="M283" s="10"/>
      <c r="N283" s="10"/>
      <c r="O283" s="17" t="str">
        <f>IF($A283="","",COUNTIF('Fault Log'!$B:$B,$A283)-COUNTIFS('Fault Log'!$B:$B,$A283,'Fault Log'!$I:$I,"Closed"))</f>
        <v/>
      </c>
      <c r="P283" s="17" t="str">
        <f>IF($A283="","",COUNTIF('Fault Log'!$B:$B,$A283))</f>
        <v/>
      </c>
    </row>
    <row r="284" spans="1:16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6"/>
      <c r="M284" s="10"/>
      <c r="N284" s="10"/>
      <c r="O284" s="17" t="str">
        <f>IF($A284="","",COUNTIF('Fault Log'!$B:$B,$A284)-COUNTIFS('Fault Log'!$B:$B,$A284,'Fault Log'!$I:$I,"Closed"))</f>
        <v/>
      </c>
      <c r="P284" s="17" t="str">
        <f>IF($A284="","",COUNTIF('Fault Log'!$B:$B,$A284))</f>
        <v/>
      </c>
    </row>
    <row r="285" spans="1:16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6"/>
      <c r="M285" s="10"/>
      <c r="N285" s="10"/>
      <c r="O285" s="17" t="str">
        <f>IF($A285="","",COUNTIF('Fault Log'!$B:$B,$A285)-COUNTIFS('Fault Log'!$B:$B,$A285,'Fault Log'!$I:$I,"Closed"))</f>
        <v/>
      </c>
      <c r="P285" s="17" t="str">
        <f>IF($A285="","",COUNTIF('Fault Log'!$B:$B,$A285))</f>
        <v/>
      </c>
    </row>
    <row r="286" spans="1:16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6"/>
      <c r="M286" s="10"/>
      <c r="N286" s="10"/>
      <c r="O286" s="17" t="str">
        <f>IF($A286="","",COUNTIF('Fault Log'!$B:$B,$A286)-COUNTIFS('Fault Log'!$B:$B,$A286,'Fault Log'!$I:$I,"Closed"))</f>
        <v/>
      </c>
      <c r="P286" s="17" t="str">
        <f>IF($A286="","",COUNTIF('Fault Log'!$B:$B,$A286))</f>
        <v/>
      </c>
    </row>
    <row r="287" spans="1:16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6"/>
      <c r="M287" s="10"/>
      <c r="N287" s="10"/>
      <c r="O287" s="17" t="str">
        <f>IF($A287="","",COUNTIF('Fault Log'!$B:$B,$A287)-COUNTIFS('Fault Log'!$B:$B,$A287,'Fault Log'!$I:$I,"Closed"))</f>
        <v/>
      </c>
      <c r="P287" s="17" t="str">
        <f>IF($A287="","",COUNTIF('Fault Log'!$B:$B,$A287))</f>
        <v/>
      </c>
    </row>
    <row r="288" spans="1:16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6"/>
      <c r="M288" s="10"/>
      <c r="N288" s="10"/>
      <c r="O288" s="17" t="str">
        <f>IF($A288="","",COUNTIF('Fault Log'!$B:$B,$A288)-COUNTIFS('Fault Log'!$B:$B,$A288,'Fault Log'!$I:$I,"Closed"))</f>
        <v/>
      </c>
      <c r="P288" s="17" t="str">
        <f>IF($A288="","",COUNTIF('Fault Log'!$B:$B,$A288))</f>
        <v/>
      </c>
    </row>
    <row r="289" spans="1:16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6"/>
      <c r="M289" s="10"/>
      <c r="N289" s="10"/>
      <c r="O289" s="17" t="str">
        <f>IF($A289="","",COUNTIF('Fault Log'!$B:$B,$A289)-COUNTIFS('Fault Log'!$B:$B,$A289,'Fault Log'!$I:$I,"Closed"))</f>
        <v/>
      </c>
      <c r="P289" s="17" t="str">
        <f>IF($A289="","",COUNTIF('Fault Log'!$B:$B,$A289))</f>
        <v/>
      </c>
    </row>
    <row r="290" spans="1:16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6"/>
      <c r="M290" s="10"/>
      <c r="N290" s="10"/>
      <c r="O290" s="17" t="str">
        <f>IF($A290="","",COUNTIF('Fault Log'!$B:$B,$A290)-COUNTIFS('Fault Log'!$B:$B,$A290,'Fault Log'!$I:$I,"Closed"))</f>
        <v/>
      </c>
      <c r="P290" s="17" t="str">
        <f>IF($A290="","",COUNTIF('Fault Log'!$B:$B,$A290))</f>
        <v/>
      </c>
    </row>
    <row r="291" spans="1:16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6"/>
      <c r="M291" s="10"/>
      <c r="N291" s="10"/>
      <c r="O291" s="17" t="str">
        <f>IF($A291="","",COUNTIF('Fault Log'!$B:$B,$A291)-COUNTIFS('Fault Log'!$B:$B,$A291,'Fault Log'!$I:$I,"Closed"))</f>
        <v/>
      </c>
      <c r="P291" s="17" t="str">
        <f>IF($A291="","",COUNTIF('Fault Log'!$B:$B,$A291))</f>
        <v/>
      </c>
    </row>
    <row r="292" spans="1:16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6"/>
      <c r="M292" s="10"/>
      <c r="N292" s="10"/>
      <c r="O292" s="17" t="str">
        <f>IF($A292="","",COUNTIF('Fault Log'!$B:$B,$A292)-COUNTIFS('Fault Log'!$B:$B,$A292,'Fault Log'!$I:$I,"Closed"))</f>
        <v/>
      </c>
      <c r="P292" s="17" t="str">
        <f>IF($A292="","",COUNTIF('Fault Log'!$B:$B,$A292))</f>
        <v/>
      </c>
    </row>
    <row r="293" spans="1:16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6"/>
      <c r="M293" s="10"/>
      <c r="N293" s="10"/>
      <c r="O293" s="17" t="str">
        <f>IF($A293="","",COUNTIF('Fault Log'!$B:$B,$A293)-COUNTIFS('Fault Log'!$B:$B,$A293,'Fault Log'!$I:$I,"Closed"))</f>
        <v/>
      </c>
      <c r="P293" s="17" t="str">
        <f>IF($A293="","",COUNTIF('Fault Log'!$B:$B,$A293))</f>
        <v/>
      </c>
    </row>
    <row r="294" spans="1:16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6"/>
      <c r="M294" s="10"/>
      <c r="N294" s="10"/>
      <c r="O294" s="17" t="str">
        <f>IF($A294="","",COUNTIF('Fault Log'!$B:$B,$A294)-COUNTIFS('Fault Log'!$B:$B,$A294,'Fault Log'!$I:$I,"Closed"))</f>
        <v/>
      </c>
      <c r="P294" s="17" t="str">
        <f>IF($A294="","",COUNTIF('Fault Log'!$B:$B,$A294))</f>
        <v/>
      </c>
    </row>
    <row r="295" spans="1:16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6"/>
      <c r="M295" s="10"/>
      <c r="N295" s="10"/>
      <c r="O295" s="17" t="str">
        <f>IF($A295="","",COUNTIF('Fault Log'!$B:$B,$A295)-COUNTIFS('Fault Log'!$B:$B,$A295,'Fault Log'!$I:$I,"Closed"))</f>
        <v/>
      </c>
      <c r="P295" s="17" t="str">
        <f>IF($A295="","",COUNTIF('Fault Log'!$B:$B,$A295))</f>
        <v/>
      </c>
    </row>
    <row r="296" spans="1:16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6"/>
      <c r="M296" s="10"/>
      <c r="N296" s="10"/>
      <c r="O296" s="17" t="str">
        <f>IF($A296="","",COUNTIF('Fault Log'!$B:$B,$A296)-COUNTIFS('Fault Log'!$B:$B,$A296,'Fault Log'!$I:$I,"Closed"))</f>
        <v/>
      </c>
      <c r="P296" s="17" t="str">
        <f>IF($A296="","",COUNTIF('Fault Log'!$B:$B,$A296))</f>
        <v/>
      </c>
    </row>
    <row r="297" spans="1:16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6"/>
      <c r="M297" s="10"/>
      <c r="N297" s="10"/>
      <c r="O297" s="17" t="str">
        <f>IF($A297="","",COUNTIF('Fault Log'!$B:$B,$A297)-COUNTIFS('Fault Log'!$B:$B,$A297,'Fault Log'!$I:$I,"Closed"))</f>
        <v/>
      </c>
      <c r="P297" s="17" t="str">
        <f>IF($A297="","",COUNTIF('Fault Log'!$B:$B,$A297))</f>
        <v/>
      </c>
    </row>
    <row r="298" spans="1:16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6"/>
      <c r="M298" s="10"/>
      <c r="N298" s="10"/>
      <c r="O298" s="17" t="str">
        <f>IF($A298="","",COUNTIF('Fault Log'!$B:$B,$A298)-COUNTIFS('Fault Log'!$B:$B,$A298,'Fault Log'!$I:$I,"Closed"))</f>
        <v/>
      </c>
      <c r="P298" s="17" t="str">
        <f>IF($A298="","",COUNTIF('Fault Log'!$B:$B,$A298))</f>
        <v/>
      </c>
    </row>
    <row r="299" spans="1:16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6"/>
      <c r="M299" s="10"/>
      <c r="N299" s="10"/>
      <c r="O299" s="17" t="str">
        <f>IF($A299="","",COUNTIF('Fault Log'!$B:$B,$A299)-COUNTIFS('Fault Log'!$B:$B,$A299,'Fault Log'!$I:$I,"Closed"))</f>
        <v/>
      </c>
      <c r="P299" s="17" t="str">
        <f>IF($A299="","",COUNTIF('Fault Log'!$B:$B,$A299))</f>
        <v/>
      </c>
    </row>
    <row r="300" spans="1:16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6"/>
      <c r="M300" s="10"/>
      <c r="N300" s="10"/>
      <c r="O300" s="17" t="str">
        <f>IF($A300="","",COUNTIF('Fault Log'!$B:$B,$A300)-COUNTIFS('Fault Log'!$B:$B,$A300,'Fault Log'!$I:$I,"Closed"))</f>
        <v/>
      </c>
      <c r="P300" s="17" t="str">
        <f>IF($A300="","",COUNTIF('Fault Log'!$B:$B,$A300))</f>
        <v/>
      </c>
    </row>
    <row r="301" spans="1:16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6"/>
      <c r="M301" s="10"/>
      <c r="N301" s="10"/>
      <c r="O301" s="17" t="str">
        <f>IF($A301="","",COUNTIF('Fault Log'!$B:$B,$A301)-COUNTIFS('Fault Log'!$B:$B,$A301,'Fault Log'!$I:$I,"Closed"))</f>
        <v/>
      </c>
      <c r="P301" s="17" t="str">
        <f>IF($A301="","",COUNTIF('Fault Log'!$B:$B,$A301))</f>
        <v/>
      </c>
    </row>
    <row r="302" spans="1:16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6"/>
      <c r="M302" s="10"/>
      <c r="N302" s="10"/>
      <c r="O302" s="17" t="str">
        <f>IF($A302="","",COUNTIF('Fault Log'!$B:$B,$A302)-COUNTIFS('Fault Log'!$B:$B,$A302,'Fault Log'!$I:$I,"Closed"))</f>
        <v/>
      </c>
      <c r="P302" s="17" t="str">
        <f>IF($A302="","",COUNTIF('Fault Log'!$B:$B,$A302))</f>
        <v/>
      </c>
    </row>
    <row r="303" spans="1:16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6"/>
      <c r="M303" s="10"/>
      <c r="N303" s="10"/>
      <c r="O303" s="17" t="str">
        <f>IF($A303="","",COUNTIF('Fault Log'!$B:$B,$A303)-COUNTIFS('Fault Log'!$B:$B,$A303,'Fault Log'!$I:$I,"Closed"))</f>
        <v/>
      </c>
      <c r="P303" s="17" t="str">
        <f>IF($A303="","",COUNTIF('Fault Log'!$B:$B,$A303))</f>
        <v/>
      </c>
    </row>
    <row r="304" spans="1:16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6"/>
      <c r="M304" s="10"/>
      <c r="N304" s="10"/>
      <c r="O304" s="17" t="str">
        <f>IF($A304="","",COUNTIF('Fault Log'!$B:$B,$A304)-COUNTIFS('Fault Log'!$B:$B,$A304,'Fault Log'!$I:$I,"Closed"))</f>
        <v/>
      </c>
      <c r="P304" s="17" t="str">
        <f>IF($A304="","",COUNTIF('Fault Log'!$B:$B,$A304))</f>
        <v/>
      </c>
    </row>
    <row r="305" spans="1:16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6"/>
      <c r="M305" s="10"/>
      <c r="N305" s="10"/>
      <c r="O305" s="17" t="str">
        <f>IF($A305="","",COUNTIF('Fault Log'!$B:$B,$A305)-COUNTIFS('Fault Log'!$B:$B,$A305,'Fault Log'!$I:$I,"Closed"))</f>
        <v/>
      </c>
      <c r="P305" s="17" t="str">
        <f>IF($A305="","",COUNTIF('Fault Log'!$B:$B,$A305))</f>
        <v/>
      </c>
    </row>
    <row r="306" spans="1:16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6"/>
      <c r="M306" s="10"/>
      <c r="N306" s="10"/>
      <c r="O306" s="17" t="str">
        <f>IF($A306="","",COUNTIF('Fault Log'!$B:$B,$A306)-COUNTIFS('Fault Log'!$B:$B,$A306,'Fault Log'!$I:$I,"Closed"))</f>
        <v/>
      </c>
      <c r="P306" s="17" t="str">
        <f>IF($A306="","",COUNTIF('Fault Log'!$B:$B,$A306))</f>
        <v/>
      </c>
    </row>
    <row r="307" spans="1:16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6"/>
      <c r="M307" s="10"/>
      <c r="N307" s="10"/>
      <c r="O307" s="17" t="str">
        <f>IF($A307="","",COUNTIF('Fault Log'!$B:$B,$A307)-COUNTIFS('Fault Log'!$B:$B,$A307,'Fault Log'!$I:$I,"Closed"))</f>
        <v/>
      </c>
      <c r="P307" s="17" t="str">
        <f>IF($A307="","",COUNTIF('Fault Log'!$B:$B,$A307))</f>
        <v/>
      </c>
    </row>
    <row r="308" spans="1:16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6"/>
      <c r="M308" s="10"/>
      <c r="N308" s="10"/>
      <c r="O308" s="17" t="str">
        <f>IF($A308="","",COUNTIF('Fault Log'!$B:$B,$A308)-COUNTIFS('Fault Log'!$B:$B,$A308,'Fault Log'!$I:$I,"Closed"))</f>
        <v/>
      </c>
      <c r="P308" s="17" t="str">
        <f>IF($A308="","",COUNTIF('Fault Log'!$B:$B,$A308))</f>
        <v/>
      </c>
    </row>
    <row r="309" spans="1:16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6"/>
      <c r="M309" s="10"/>
      <c r="N309" s="10"/>
      <c r="O309" s="17" t="str">
        <f>IF($A309="","",COUNTIF('Fault Log'!$B:$B,$A309)-COUNTIFS('Fault Log'!$B:$B,$A309,'Fault Log'!$I:$I,"Closed"))</f>
        <v/>
      </c>
      <c r="P309" s="17" t="str">
        <f>IF($A309="","",COUNTIF('Fault Log'!$B:$B,$A309))</f>
        <v/>
      </c>
    </row>
    <row r="310" spans="1:16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6"/>
      <c r="M310" s="10"/>
      <c r="N310" s="10"/>
      <c r="O310" s="17" t="str">
        <f>IF($A310="","",COUNTIF('Fault Log'!$B:$B,$A310)-COUNTIFS('Fault Log'!$B:$B,$A310,'Fault Log'!$I:$I,"Closed"))</f>
        <v/>
      </c>
      <c r="P310" s="17" t="str">
        <f>IF($A310="","",COUNTIF('Fault Log'!$B:$B,$A310))</f>
        <v/>
      </c>
    </row>
    <row r="311" spans="1:16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6"/>
      <c r="M311" s="10"/>
      <c r="N311" s="10"/>
      <c r="O311" s="17" t="str">
        <f>IF($A311="","",COUNTIF('Fault Log'!$B:$B,$A311)-COUNTIFS('Fault Log'!$B:$B,$A311,'Fault Log'!$I:$I,"Closed"))</f>
        <v/>
      </c>
      <c r="P311" s="17" t="str">
        <f>IF($A311="","",COUNTIF('Fault Log'!$B:$B,$A311))</f>
        <v/>
      </c>
    </row>
    <row r="312" spans="1:16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6"/>
      <c r="M312" s="10"/>
      <c r="N312" s="10"/>
      <c r="O312" s="17" t="str">
        <f>IF($A312="","",COUNTIF('Fault Log'!$B:$B,$A312)-COUNTIFS('Fault Log'!$B:$B,$A312,'Fault Log'!$I:$I,"Closed"))</f>
        <v/>
      </c>
      <c r="P312" s="17" t="str">
        <f>IF($A312="","",COUNTIF('Fault Log'!$B:$B,$A312))</f>
        <v/>
      </c>
    </row>
    <row r="313" spans="1:16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6"/>
      <c r="M313" s="10"/>
      <c r="N313" s="10"/>
      <c r="O313" s="17" t="str">
        <f>IF($A313="","",COUNTIF('Fault Log'!$B:$B,$A313)-COUNTIFS('Fault Log'!$B:$B,$A313,'Fault Log'!$I:$I,"Closed"))</f>
        <v/>
      </c>
      <c r="P313" s="17" t="str">
        <f>IF($A313="","",COUNTIF('Fault Log'!$B:$B,$A313))</f>
        <v/>
      </c>
    </row>
    <row r="314" spans="1:16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6"/>
      <c r="M314" s="10"/>
      <c r="N314" s="10"/>
      <c r="O314" s="17" t="str">
        <f>IF($A314="","",COUNTIF('Fault Log'!$B:$B,$A314)-COUNTIFS('Fault Log'!$B:$B,$A314,'Fault Log'!$I:$I,"Closed"))</f>
        <v/>
      </c>
      <c r="P314" s="17" t="str">
        <f>IF($A314="","",COUNTIF('Fault Log'!$B:$B,$A314))</f>
        <v/>
      </c>
    </row>
    <row r="315" spans="1:16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6"/>
      <c r="M315" s="10"/>
      <c r="N315" s="10"/>
      <c r="O315" s="17" t="str">
        <f>IF($A315="","",COUNTIF('Fault Log'!$B:$B,$A315)-COUNTIFS('Fault Log'!$B:$B,$A315,'Fault Log'!$I:$I,"Closed"))</f>
        <v/>
      </c>
      <c r="P315" s="17" t="str">
        <f>IF($A315="","",COUNTIF('Fault Log'!$B:$B,$A315))</f>
        <v/>
      </c>
    </row>
    <row r="316" spans="1:16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6"/>
      <c r="M316" s="10"/>
      <c r="N316" s="10"/>
      <c r="O316" s="17" t="str">
        <f>IF($A316="","",COUNTIF('Fault Log'!$B:$B,$A316)-COUNTIFS('Fault Log'!$B:$B,$A316,'Fault Log'!$I:$I,"Closed"))</f>
        <v/>
      </c>
      <c r="P316" s="17" t="str">
        <f>IF($A316="","",COUNTIF('Fault Log'!$B:$B,$A316))</f>
        <v/>
      </c>
    </row>
    <row r="317" spans="1:16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6"/>
      <c r="M317" s="10"/>
      <c r="N317" s="10"/>
      <c r="O317" s="17" t="str">
        <f>IF($A317="","",COUNTIF('Fault Log'!$B:$B,$A317)-COUNTIFS('Fault Log'!$B:$B,$A317,'Fault Log'!$I:$I,"Closed"))</f>
        <v/>
      </c>
      <c r="P317" s="17" t="str">
        <f>IF($A317="","",COUNTIF('Fault Log'!$B:$B,$A317))</f>
        <v/>
      </c>
    </row>
    <row r="318" spans="1:16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6"/>
      <c r="M318" s="10"/>
      <c r="N318" s="10"/>
      <c r="O318" s="17" t="str">
        <f>IF($A318="","",COUNTIF('Fault Log'!$B:$B,$A318)-COUNTIFS('Fault Log'!$B:$B,$A318,'Fault Log'!$I:$I,"Closed"))</f>
        <v/>
      </c>
      <c r="P318" s="17" t="str">
        <f>IF($A318="","",COUNTIF('Fault Log'!$B:$B,$A318))</f>
        <v/>
      </c>
    </row>
    <row r="319" spans="1:16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6"/>
      <c r="M319" s="10"/>
      <c r="N319" s="10"/>
      <c r="O319" s="17" t="str">
        <f>IF($A319="","",COUNTIF('Fault Log'!$B:$B,$A319)-COUNTIFS('Fault Log'!$B:$B,$A319,'Fault Log'!$I:$I,"Closed"))</f>
        <v/>
      </c>
      <c r="P319" s="17" t="str">
        <f>IF($A319="","",COUNTIF('Fault Log'!$B:$B,$A319))</f>
        <v/>
      </c>
    </row>
    <row r="320" spans="1:16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6"/>
      <c r="M320" s="10"/>
      <c r="N320" s="10"/>
      <c r="O320" s="17" t="str">
        <f>IF($A320="","",COUNTIF('Fault Log'!$B:$B,$A320)-COUNTIFS('Fault Log'!$B:$B,$A320,'Fault Log'!$I:$I,"Closed"))</f>
        <v/>
      </c>
      <c r="P320" s="17" t="str">
        <f>IF($A320="","",COUNTIF('Fault Log'!$B:$B,$A320))</f>
        <v/>
      </c>
    </row>
    <row r="321" spans="1:16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6"/>
      <c r="M321" s="10"/>
      <c r="N321" s="10"/>
      <c r="O321" s="17" t="str">
        <f>IF($A321="","",COUNTIF('Fault Log'!$B:$B,$A321)-COUNTIFS('Fault Log'!$B:$B,$A321,'Fault Log'!$I:$I,"Closed"))</f>
        <v/>
      </c>
      <c r="P321" s="17" t="str">
        <f>IF($A321="","",COUNTIF('Fault Log'!$B:$B,$A321))</f>
        <v/>
      </c>
    </row>
    <row r="322" spans="1:16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6"/>
      <c r="M322" s="10"/>
      <c r="N322" s="10"/>
      <c r="O322" s="17" t="str">
        <f>IF($A322="","",COUNTIF('Fault Log'!$B:$B,$A322)-COUNTIFS('Fault Log'!$B:$B,$A322,'Fault Log'!$I:$I,"Closed"))</f>
        <v/>
      </c>
      <c r="P322" s="17" t="str">
        <f>IF($A322="","",COUNTIF('Fault Log'!$B:$B,$A322))</f>
        <v/>
      </c>
    </row>
    <row r="323" spans="1:16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6"/>
      <c r="M323" s="10"/>
      <c r="N323" s="10"/>
      <c r="O323" s="17" t="str">
        <f>IF($A323="","",COUNTIF('Fault Log'!$B:$B,$A323)-COUNTIFS('Fault Log'!$B:$B,$A323,'Fault Log'!$I:$I,"Closed"))</f>
        <v/>
      </c>
      <c r="P323" s="17" t="str">
        <f>IF($A323="","",COUNTIF('Fault Log'!$B:$B,$A323))</f>
        <v/>
      </c>
    </row>
    <row r="324" spans="1:16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6"/>
      <c r="M324" s="10"/>
      <c r="N324" s="10"/>
      <c r="O324" s="17" t="str">
        <f>IF($A324="","",COUNTIF('Fault Log'!$B:$B,$A324)-COUNTIFS('Fault Log'!$B:$B,$A324,'Fault Log'!$I:$I,"Closed"))</f>
        <v/>
      </c>
      <c r="P324" s="17" t="str">
        <f>IF($A324="","",COUNTIF('Fault Log'!$B:$B,$A324))</f>
        <v/>
      </c>
    </row>
    <row r="325" spans="1:16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6"/>
      <c r="M325" s="10"/>
      <c r="N325" s="10"/>
      <c r="O325" s="17" t="str">
        <f>IF($A325="","",COUNTIF('Fault Log'!$B:$B,$A325)-COUNTIFS('Fault Log'!$B:$B,$A325,'Fault Log'!$I:$I,"Closed"))</f>
        <v/>
      </c>
      <c r="P325" s="17" t="str">
        <f>IF($A325="","",COUNTIF('Fault Log'!$B:$B,$A325))</f>
        <v/>
      </c>
    </row>
    <row r="326" spans="1:16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6"/>
      <c r="M326" s="10"/>
      <c r="N326" s="10"/>
      <c r="O326" s="17" t="str">
        <f>IF($A326="","",COUNTIF('Fault Log'!$B:$B,$A326)-COUNTIFS('Fault Log'!$B:$B,$A326,'Fault Log'!$I:$I,"Closed"))</f>
        <v/>
      </c>
      <c r="P326" s="17" t="str">
        <f>IF($A326="","",COUNTIF('Fault Log'!$B:$B,$A326))</f>
        <v/>
      </c>
    </row>
    <row r="327" spans="1:16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6"/>
      <c r="M327" s="10"/>
      <c r="N327" s="10"/>
      <c r="O327" s="17" t="str">
        <f>IF($A327="","",COUNTIF('Fault Log'!$B:$B,$A327)-COUNTIFS('Fault Log'!$B:$B,$A327,'Fault Log'!$I:$I,"Closed"))</f>
        <v/>
      </c>
      <c r="P327" s="17" t="str">
        <f>IF($A327="","",COUNTIF('Fault Log'!$B:$B,$A327))</f>
        <v/>
      </c>
    </row>
    <row r="328" spans="1:16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6"/>
      <c r="M328" s="10"/>
      <c r="N328" s="10"/>
      <c r="O328" s="17" t="str">
        <f>IF($A328="","",COUNTIF('Fault Log'!$B:$B,$A328)-COUNTIFS('Fault Log'!$B:$B,$A328,'Fault Log'!$I:$I,"Closed"))</f>
        <v/>
      </c>
      <c r="P328" s="17" t="str">
        <f>IF($A328="","",COUNTIF('Fault Log'!$B:$B,$A328))</f>
        <v/>
      </c>
    </row>
    <row r="329" spans="1:16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6"/>
      <c r="M329" s="10"/>
      <c r="N329" s="10"/>
      <c r="O329" s="17" t="str">
        <f>IF($A329="","",COUNTIF('Fault Log'!$B:$B,$A329)-COUNTIFS('Fault Log'!$B:$B,$A329,'Fault Log'!$I:$I,"Closed"))</f>
        <v/>
      </c>
      <c r="P329" s="17" t="str">
        <f>IF($A329="","",COUNTIF('Fault Log'!$B:$B,$A329))</f>
        <v/>
      </c>
    </row>
    <row r="330" spans="1:16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6"/>
      <c r="M330" s="10"/>
      <c r="N330" s="10"/>
      <c r="O330" s="17" t="str">
        <f>IF($A330="","",COUNTIF('Fault Log'!$B:$B,$A330)-COUNTIFS('Fault Log'!$B:$B,$A330,'Fault Log'!$I:$I,"Closed"))</f>
        <v/>
      </c>
      <c r="P330" s="17" t="str">
        <f>IF($A330="","",COUNTIF('Fault Log'!$B:$B,$A330))</f>
        <v/>
      </c>
    </row>
    <row r="331" spans="1:16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6"/>
      <c r="M331" s="10"/>
      <c r="N331" s="10"/>
      <c r="O331" s="17" t="str">
        <f>IF($A331="","",COUNTIF('Fault Log'!$B:$B,$A331)-COUNTIFS('Fault Log'!$B:$B,$A331,'Fault Log'!$I:$I,"Closed"))</f>
        <v/>
      </c>
      <c r="P331" s="17" t="str">
        <f>IF($A331="","",COUNTIF('Fault Log'!$B:$B,$A331))</f>
        <v/>
      </c>
    </row>
    <row r="332" spans="1:16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6"/>
      <c r="M332" s="10"/>
      <c r="N332" s="10"/>
      <c r="O332" s="17" t="str">
        <f>IF($A332="","",COUNTIF('Fault Log'!$B:$B,$A332)-COUNTIFS('Fault Log'!$B:$B,$A332,'Fault Log'!$I:$I,"Closed"))</f>
        <v/>
      </c>
      <c r="P332" s="17" t="str">
        <f>IF($A332="","",COUNTIF('Fault Log'!$B:$B,$A332))</f>
        <v/>
      </c>
    </row>
    <row r="333" spans="1:16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6"/>
      <c r="M333" s="10"/>
      <c r="N333" s="10"/>
      <c r="O333" s="17" t="str">
        <f>IF($A333="","",COUNTIF('Fault Log'!$B:$B,$A333)-COUNTIFS('Fault Log'!$B:$B,$A333,'Fault Log'!$I:$I,"Closed"))</f>
        <v/>
      </c>
      <c r="P333" s="17" t="str">
        <f>IF($A333="","",COUNTIF('Fault Log'!$B:$B,$A333))</f>
        <v/>
      </c>
    </row>
    <row r="334" spans="1:16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6"/>
      <c r="M334" s="10"/>
      <c r="N334" s="10"/>
      <c r="O334" s="17" t="str">
        <f>IF($A334="","",COUNTIF('Fault Log'!$B:$B,$A334)-COUNTIFS('Fault Log'!$B:$B,$A334,'Fault Log'!$I:$I,"Closed"))</f>
        <v/>
      </c>
      <c r="P334" s="17" t="str">
        <f>IF($A334="","",COUNTIF('Fault Log'!$B:$B,$A334))</f>
        <v/>
      </c>
    </row>
    <row r="335" spans="1:16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6"/>
      <c r="M335" s="10"/>
      <c r="N335" s="10"/>
      <c r="O335" s="17" t="str">
        <f>IF($A335="","",COUNTIF('Fault Log'!$B:$B,$A335)-COUNTIFS('Fault Log'!$B:$B,$A335,'Fault Log'!$I:$I,"Closed"))</f>
        <v/>
      </c>
      <c r="P335" s="17" t="str">
        <f>IF($A335="","",COUNTIF('Fault Log'!$B:$B,$A335))</f>
        <v/>
      </c>
    </row>
    <row r="336" spans="1:16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6"/>
      <c r="M336" s="10"/>
      <c r="N336" s="10"/>
      <c r="O336" s="17" t="str">
        <f>IF($A336="","",COUNTIF('Fault Log'!$B:$B,$A336)-COUNTIFS('Fault Log'!$B:$B,$A336,'Fault Log'!$I:$I,"Closed"))</f>
        <v/>
      </c>
      <c r="P336" s="17" t="str">
        <f>IF($A336="","",COUNTIF('Fault Log'!$B:$B,$A336))</f>
        <v/>
      </c>
    </row>
    <row r="337" spans="1:16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6"/>
      <c r="M337" s="10"/>
      <c r="N337" s="10"/>
      <c r="O337" s="17" t="str">
        <f>IF($A337="","",COUNTIF('Fault Log'!$B:$B,$A337)-COUNTIFS('Fault Log'!$B:$B,$A337,'Fault Log'!$I:$I,"Closed"))</f>
        <v/>
      </c>
      <c r="P337" s="17" t="str">
        <f>IF($A337="","",COUNTIF('Fault Log'!$B:$B,$A337))</f>
        <v/>
      </c>
    </row>
    <row r="338" spans="1:16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6"/>
      <c r="M338" s="10"/>
      <c r="N338" s="10"/>
      <c r="O338" s="17" t="str">
        <f>IF($A338="","",COUNTIF('Fault Log'!$B:$B,$A338)-COUNTIFS('Fault Log'!$B:$B,$A338,'Fault Log'!$I:$I,"Closed"))</f>
        <v/>
      </c>
      <c r="P338" s="17" t="str">
        <f>IF($A338="","",COUNTIF('Fault Log'!$B:$B,$A338))</f>
        <v/>
      </c>
    </row>
    <row r="339" spans="1:16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6"/>
      <c r="M339" s="10"/>
      <c r="N339" s="10"/>
      <c r="O339" s="17" t="str">
        <f>IF($A339="","",COUNTIF('Fault Log'!$B:$B,$A339)-COUNTIFS('Fault Log'!$B:$B,$A339,'Fault Log'!$I:$I,"Closed"))</f>
        <v/>
      </c>
      <c r="P339" s="17" t="str">
        <f>IF($A339="","",COUNTIF('Fault Log'!$B:$B,$A339))</f>
        <v/>
      </c>
    </row>
    <row r="340" spans="1:16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6"/>
      <c r="M340" s="10"/>
      <c r="N340" s="10"/>
      <c r="O340" s="17" t="str">
        <f>IF($A340="","",COUNTIF('Fault Log'!$B:$B,$A340)-COUNTIFS('Fault Log'!$B:$B,$A340,'Fault Log'!$I:$I,"Closed"))</f>
        <v/>
      </c>
      <c r="P340" s="17" t="str">
        <f>IF($A340="","",COUNTIF('Fault Log'!$B:$B,$A340))</f>
        <v/>
      </c>
    </row>
    <row r="341" spans="1:16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6"/>
      <c r="M341" s="10"/>
      <c r="N341" s="10"/>
      <c r="O341" s="17" t="str">
        <f>IF($A341="","",COUNTIF('Fault Log'!$B:$B,$A341)-COUNTIFS('Fault Log'!$B:$B,$A341,'Fault Log'!$I:$I,"Closed"))</f>
        <v/>
      </c>
      <c r="P341" s="17" t="str">
        <f>IF($A341="","",COUNTIF('Fault Log'!$B:$B,$A341))</f>
        <v/>
      </c>
    </row>
    <row r="342" spans="1:16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6"/>
      <c r="M342" s="10"/>
      <c r="N342" s="10"/>
      <c r="O342" s="17" t="str">
        <f>IF($A342="","",COUNTIF('Fault Log'!$B:$B,$A342)-COUNTIFS('Fault Log'!$B:$B,$A342,'Fault Log'!$I:$I,"Closed"))</f>
        <v/>
      </c>
      <c r="P342" s="17" t="str">
        <f>IF($A342="","",COUNTIF('Fault Log'!$B:$B,$A342))</f>
        <v/>
      </c>
    </row>
    <row r="343" spans="1:16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6"/>
      <c r="M343" s="10"/>
      <c r="N343" s="10"/>
      <c r="O343" s="17" t="str">
        <f>IF($A343="","",COUNTIF('Fault Log'!$B:$B,$A343)-COUNTIFS('Fault Log'!$B:$B,$A343,'Fault Log'!$I:$I,"Closed"))</f>
        <v/>
      </c>
      <c r="P343" s="17" t="str">
        <f>IF($A343="","",COUNTIF('Fault Log'!$B:$B,$A343))</f>
        <v/>
      </c>
    </row>
    <row r="344" spans="1:16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6"/>
      <c r="M344" s="10"/>
      <c r="N344" s="10"/>
      <c r="O344" s="17" t="str">
        <f>IF($A344="","",COUNTIF('Fault Log'!$B:$B,$A344)-COUNTIFS('Fault Log'!$B:$B,$A344,'Fault Log'!$I:$I,"Closed"))</f>
        <v/>
      </c>
      <c r="P344" s="17" t="str">
        <f>IF($A344="","",COUNTIF('Fault Log'!$B:$B,$A344))</f>
        <v/>
      </c>
    </row>
    <row r="345" spans="1:16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6"/>
      <c r="M345" s="10"/>
      <c r="N345" s="10"/>
      <c r="O345" s="17" t="str">
        <f>IF($A345="","",COUNTIF('Fault Log'!$B:$B,$A345)-COUNTIFS('Fault Log'!$B:$B,$A345,'Fault Log'!$I:$I,"Closed"))</f>
        <v/>
      </c>
      <c r="P345" s="17" t="str">
        <f>IF($A345="","",COUNTIF('Fault Log'!$B:$B,$A345))</f>
        <v/>
      </c>
    </row>
    <row r="346" spans="1:16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6"/>
      <c r="M346" s="10"/>
      <c r="N346" s="10"/>
      <c r="O346" s="17" t="str">
        <f>IF($A346="","",COUNTIF('Fault Log'!$B:$B,$A346)-COUNTIFS('Fault Log'!$B:$B,$A346,'Fault Log'!$I:$I,"Closed"))</f>
        <v/>
      </c>
      <c r="P346" s="17" t="str">
        <f>IF($A346="","",COUNTIF('Fault Log'!$B:$B,$A346))</f>
        <v/>
      </c>
    </row>
    <row r="347" spans="1:16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6"/>
      <c r="M347" s="10"/>
      <c r="N347" s="10"/>
      <c r="O347" s="17" t="str">
        <f>IF($A347="","",COUNTIF('Fault Log'!$B:$B,$A347)-COUNTIFS('Fault Log'!$B:$B,$A347,'Fault Log'!$I:$I,"Closed"))</f>
        <v/>
      </c>
      <c r="P347" s="17" t="str">
        <f>IF($A347="","",COUNTIF('Fault Log'!$B:$B,$A347))</f>
        <v/>
      </c>
    </row>
    <row r="348" spans="1:16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6"/>
      <c r="M348" s="10"/>
      <c r="N348" s="10"/>
      <c r="O348" s="17" t="str">
        <f>IF($A348="","",COUNTIF('Fault Log'!$B:$B,$A348)-COUNTIFS('Fault Log'!$B:$B,$A348,'Fault Log'!$I:$I,"Closed"))</f>
        <v/>
      </c>
      <c r="P348" s="17" t="str">
        <f>IF($A348="","",COUNTIF('Fault Log'!$B:$B,$A348))</f>
        <v/>
      </c>
    </row>
    <row r="349" spans="1:16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6"/>
      <c r="M349" s="10"/>
      <c r="N349" s="10"/>
      <c r="O349" s="17" t="str">
        <f>IF($A349="","",COUNTIF('Fault Log'!$B:$B,$A349)-COUNTIFS('Fault Log'!$B:$B,$A349,'Fault Log'!$I:$I,"Closed"))</f>
        <v/>
      </c>
      <c r="P349" s="17" t="str">
        <f>IF($A349="","",COUNTIF('Fault Log'!$B:$B,$A349))</f>
        <v/>
      </c>
    </row>
    <row r="350" spans="1:16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6"/>
      <c r="M350" s="10"/>
      <c r="N350" s="10"/>
      <c r="O350" s="17" t="str">
        <f>IF($A350="","",COUNTIF('Fault Log'!$B:$B,$A350)-COUNTIFS('Fault Log'!$B:$B,$A350,'Fault Log'!$I:$I,"Closed"))</f>
        <v/>
      </c>
      <c r="P350" s="17" t="str">
        <f>IF($A350="","",COUNTIF('Fault Log'!$B:$B,$A350))</f>
        <v/>
      </c>
    </row>
    <row r="351" spans="1:16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6"/>
      <c r="M351" s="10"/>
      <c r="N351" s="10"/>
      <c r="O351" s="17" t="str">
        <f>IF($A351="","",COUNTIF('Fault Log'!$B:$B,$A351)-COUNTIFS('Fault Log'!$B:$B,$A351,'Fault Log'!$I:$I,"Closed"))</f>
        <v/>
      </c>
      <c r="P351" s="17" t="str">
        <f>IF($A351="","",COUNTIF('Fault Log'!$B:$B,$A351))</f>
        <v/>
      </c>
    </row>
    <row r="352" spans="1:16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6"/>
      <c r="M352" s="10"/>
      <c r="N352" s="10"/>
      <c r="O352" s="17" t="str">
        <f>IF($A352="","",COUNTIF('Fault Log'!$B:$B,$A352)-COUNTIFS('Fault Log'!$B:$B,$A352,'Fault Log'!$I:$I,"Closed"))</f>
        <v/>
      </c>
      <c r="P352" s="17" t="str">
        <f>IF($A352="","",COUNTIF('Fault Log'!$B:$B,$A352))</f>
        <v/>
      </c>
    </row>
    <row r="353" spans="1:16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6"/>
      <c r="M353" s="10"/>
      <c r="N353" s="10"/>
      <c r="O353" s="17" t="str">
        <f>IF($A353="","",COUNTIF('Fault Log'!$B:$B,$A353)-COUNTIFS('Fault Log'!$B:$B,$A353,'Fault Log'!$I:$I,"Closed"))</f>
        <v/>
      </c>
      <c r="P353" s="17" t="str">
        <f>IF($A353="","",COUNTIF('Fault Log'!$B:$B,$A353))</f>
        <v/>
      </c>
    </row>
    <row r="354" spans="1:16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6"/>
      <c r="M354" s="10"/>
      <c r="N354" s="10"/>
      <c r="O354" s="17" t="str">
        <f>IF($A354="","",COUNTIF('Fault Log'!$B:$B,$A354)-COUNTIFS('Fault Log'!$B:$B,$A354,'Fault Log'!$I:$I,"Closed"))</f>
        <v/>
      </c>
      <c r="P354" s="17" t="str">
        <f>IF($A354="","",COUNTIF('Fault Log'!$B:$B,$A354))</f>
        <v/>
      </c>
    </row>
    <row r="355" spans="1:16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6"/>
      <c r="M355" s="10"/>
      <c r="N355" s="10"/>
      <c r="O355" s="17" t="str">
        <f>IF($A355="","",COUNTIF('Fault Log'!$B:$B,$A355)-COUNTIFS('Fault Log'!$B:$B,$A355,'Fault Log'!$I:$I,"Closed"))</f>
        <v/>
      </c>
      <c r="P355" s="17" t="str">
        <f>IF($A355="","",COUNTIF('Fault Log'!$B:$B,$A355))</f>
        <v/>
      </c>
    </row>
    <row r="356" spans="1:16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6"/>
      <c r="M356" s="10"/>
      <c r="N356" s="10"/>
      <c r="O356" s="17" t="str">
        <f>IF($A356="","",COUNTIF('Fault Log'!$B:$B,$A356)-COUNTIFS('Fault Log'!$B:$B,$A356,'Fault Log'!$I:$I,"Closed"))</f>
        <v/>
      </c>
      <c r="P356" s="17" t="str">
        <f>IF($A356="","",COUNTIF('Fault Log'!$B:$B,$A356))</f>
        <v/>
      </c>
    </row>
    <row r="357" spans="1:16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6"/>
      <c r="M357" s="10"/>
      <c r="N357" s="10"/>
      <c r="O357" s="17" t="str">
        <f>IF($A357="","",COUNTIF('Fault Log'!$B:$B,$A357)-COUNTIFS('Fault Log'!$B:$B,$A357,'Fault Log'!$I:$I,"Closed"))</f>
        <v/>
      </c>
      <c r="P357" s="17" t="str">
        <f>IF($A357="","",COUNTIF('Fault Log'!$B:$B,$A357))</f>
        <v/>
      </c>
    </row>
    <row r="358" spans="1:16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6"/>
      <c r="M358" s="10"/>
      <c r="N358" s="10"/>
      <c r="O358" s="17" t="str">
        <f>IF($A358="","",COUNTIF('Fault Log'!$B:$B,$A358)-COUNTIFS('Fault Log'!$B:$B,$A358,'Fault Log'!$I:$I,"Closed"))</f>
        <v/>
      </c>
      <c r="P358" s="17" t="str">
        <f>IF($A358="","",COUNTIF('Fault Log'!$B:$B,$A358))</f>
        <v/>
      </c>
    </row>
    <row r="359" spans="1:16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6"/>
      <c r="M359" s="10"/>
      <c r="N359" s="10"/>
      <c r="O359" s="17" t="str">
        <f>IF($A359="","",COUNTIF('Fault Log'!$B:$B,$A359)-COUNTIFS('Fault Log'!$B:$B,$A359,'Fault Log'!$I:$I,"Closed"))</f>
        <v/>
      </c>
      <c r="P359" s="17" t="str">
        <f>IF($A359="","",COUNTIF('Fault Log'!$B:$B,$A359))</f>
        <v/>
      </c>
    </row>
    <row r="360" spans="1:16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6"/>
      <c r="M360" s="10"/>
      <c r="N360" s="10"/>
      <c r="O360" s="17" t="str">
        <f>IF($A360="","",COUNTIF('Fault Log'!$B:$B,$A360)-COUNTIFS('Fault Log'!$B:$B,$A360,'Fault Log'!$I:$I,"Closed"))</f>
        <v/>
      </c>
      <c r="P360" s="17" t="str">
        <f>IF($A360="","",COUNTIF('Fault Log'!$B:$B,$A360))</f>
        <v/>
      </c>
    </row>
    <row r="361" spans="1:16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6"/>
      <c r="M361" s="10"/>
      <c r="N361" s="10"/>
      <c r="O361" s="17" t="str">
        <f>IF($A361="","",COUNTIF('Fault Log'!$B:$B,$A361)-COUNTIFS('Fault Log'!$B:$B,$A361,'Fault Log'!$I:$I,"Closed"))</f>
        <v/>
      </c>
      <c r="P361" s="17" t="str">
        <f>IF($A361="","",COUNTIF('Fault Log'!$B:$B,$A361))</f>
        <v/>
      </c>
    </row>
    <row r="362" spans="1:16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6"/>
      <c r="M362" s="10"/>
      <c r="N362" s="10"/>
      <c r="O362" s="17" t="str">
        <f>IF($A362="","",COUNTIF('Fault Log'!$B:$B,$A362)-COUNTIFS('Fault Log'!$B:$B,$A362,'Fault Log'!$I:$I,"Closed"))</f>
        <v/>
      </c>
      <c r="P362" s="17" t="str">
        <f>IF($A362="","",COUNTIF('Fault Log'!$B:$B,$A362))</f>
        <v/>
      </c>
    </row>
    <row r="363" spans="1:16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6"/>
      <c r="M363" s="10"/>
      <c r="N363" s="10"/>
      <c r="O363" s="17" t="str">
        <f>IF($A363="","",COUNTIF('Fault Log'!$B:$B,$A363)-COUNTIFS('Fault Log'!$B:$B,$A363,'Fault Log'!$I:$I,"Closed"))</f>
        <v/>
      </c>
      <c r="P363" s="17" t="str">
        <f>IF($A363="","",COUNTIF('Fault Log'!$B:$B,$A363))</f>
        <v/>
      </c>
    </row>
    <row r="364" spans="1:16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6"/>
      <c r="M364" s="10"/>
      <c r="N364" s="10"/>
      <c r="O364" s="17" t="str">
        <f>IF($A364="","",COUNTIF('Fault Log'!$B:$B,$A364)-COUNTIFS('Fault Log'!$B:$B,$A364,'Fault Log'!$I:$I,"Closed"))</f>
        <v/>
      </c>
      <c r="P364" s="17" t="str">
        <f>IF($A364="","",COUNTIF('Fault Log'!$B:$B,$A364))</f>
        <v/>
      </c>
    </row>
    <row r="365" spans="1:16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6"/>
      <c r="M365" s="10"/>
      <c r="N365" s="10"/>
      <c r="O365" s="17" t="str">
        <f>IF($A365="","",COUNTIF('Fault Log'!$B:$B,$A365)-COUNTIFS('Fault Log'!$B:$B,$A365,'Fault Log'!$I:$I,"Closed"))</f>
        <v/>
      </c>
      <c r="P365" s="17" t="str">
        <f>IF($A365="","",COUNTIF('Fault Log'!$B:$B,$A365))</f>
        <v/>
      </c>
    </row>
    <row r="366" spans="1:16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6"/>
      <c r="M366" s="10"/>
      <c r="N366" s="10"/>
      <c r="O366" s="17" t="str">
        <f>IF($A366="","",COUNTIF('Fault Log'!$B:$B,$A366)-COUNTIFS('Fault Log'!$B:$B,$A366,'Fault Log'!$I:$I,"Closed"))</f>
        <v/>
      </c>
      <c r="P366" s="17" t="str">
        <f>IF($A366="","",COUNTIF('Fault Log'!$B:$B,$A366))</f>
        <v/>
      </c>
    </row>
    <row r="367" spans="1:16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6"/>
      <c r="M367" s="10"/>
      <c r="N367" s="10"/>
      <c r="O367" s="17" t="str">
        <f>IF($A367="","",COUNTIF('Fault Log'!$B:$B,$A367)-COUNTIFS('Fault Log'!$B:$B,$A367,'Fault Log'!$I:$I,"Closed"))</f>
        <v/>
      </c>
      <c r="P367" s="17" t="str">
        <f>IF($A367="","",COUNTIF('Fault Log'!$B:$B,$A367))</f>
        <v/>
      </c>
    </row>
    <row r="368" spans="1:16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6"/>
      <c r="M368" s="10"/>
      <c r="N368" s="10"/>
      <c r="O368" s="17" t="str">
        <f>IF($A368="","",COUNTIF('Fault Log'!$B:$B,$A368)-COUNTIFS('Fault Log'!$B:$B,$A368,'Fault Log'!$I:$I,"Closed"))</f>
        <v/>
      </c>
      <c r="P368" s="17" t="str">
        <f>IF($A368="","",COUNTIF('Fault Log'!$B:$B,$A368))</f>
        <v/>
      </c>
    </row>
    <row r="369" spans="1:16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6"/>
      <c r="M369" s="10"/>
      <c r="N369" s="10"/>
      <c r="O369" s="17" t="str">
        <f>IF($A369="","",COUNTIF('Fault Log'!$B:$B,$A369)-COUNTIFS('Fault Log'!$B:$B,$A369,'Fault Log'!$I:$I,"Closed"))</f>
        <v/>
      </c>
      <c r="P369" s="17" t="str">
        <f>IF($A369="","",COUNTIF('Fault Log'!$B:$B,$A369))</f>
        <v/>
      </c>
    </row>
    <row r="370" spans="1:16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6"/>
      <c r="M370" s="10"/>
      <c r="N370" s="10"/>
      <c r="O370" s="17" t="str">
        <f>IF($A370="","",COUNTIF('Fault Log'!$B:$B,$A370)-COUNTIFS('Fault Log'!$B:$B,$A370,'Fault Log'!$I:$I,"Closed"))</f>
        <v/>
      </c>
      <c r="P370" s="17" t="str">
        <f>IF($A370="","",COUNTIF('Fault Log'!$B:$B,$A370))</f>
        <v/>
      </c>
    </row>
    <row r="371" spans="1:16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6"/>
      <c r="M371" s="10"/>
      <c r="N371" s="10"/>
      <c r="O371" s="17" t="str">
        <f>IF($A371="","",COUNTIF('Fault Log'!$B:$B,$A371)-COUNTIFS('Fault Log'!$B:$B,$A371,'Fault Log'!$I:$I,"Closed"))</f>
        <v/>
      </c>
      <c r="P371" s="17" t="str">
        <f>IF($A371="","",COUNTIF('Fault Log'!$B:$B,$A371))</f>
        <v/>
      </c>
    </row>
    <row r="372" spans="1:16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6"/>
      <c r="M372" s="10"/>
      <c r="N372" s="10"/>
      <c r="O372" s="17" t="str">
        <f>IF($A372="","",COUNTIF('Fault Log'!$B:$B,$A372)-COUNTIFS('Fault Log'!$B:$B,$A372,'Fault Log'!$I:$I,"Closed"))</f>
        <v/>
      </c>
      <c r="P372" s="17" t="str">
        <f>IF($A372="","",COUNTIF('Fault Log'!$B:$B,$A372))</f>
        <v/>
      </c>
    </row>
    <row r="373" spans="1:16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6"/>
      <c r="M373" s="10"/>
      <c r="N373" s="10"/>
      <c r="O373" s="17" t="str">
        <f>IF($A373="","",COUNTIF('Fault Log'!$B:$B,$A373)-COUNTIFS('Fault Log'!$B:$B,$A373,'Fault Log'!$I:$I,"Closed"))</f>
        <v/>
      </c>
      <c r="P373" s="17" t="str">
        <f>IF($A373="","",COUNTIF('Fault Log'!$B:$B,$A373))</f>
        <v/>
      </c>
    </row>
    <row r="374" spans="1:16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6"/>
      <c r="M374" s="10"/>
      <c r="N374" s="10"/>
      <c r="O374" s="17" t="str">
        <f>IF($A374="","",COUNTIF('Fault Log'!$B:$B,$A374)-COUNTIFS('Fault Log'!$B:$B,$A374,'Fault Log'!$I:$I,"Closed"))</f>
        <v/>
      </c>
      <c r="P374" s="17" t="str">
        <f>IF($A374="","",COUNTIF('Fault Log'!$B:$B,$A374))</f>
        <v/>
      </c>
    </row>
    <row r="375" spans="1:16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6"/>
      <c r="M375" s="10"/>
      <c r="N375" s="10"/>
      <c r="O375" s="17" t="str">
        <f>IF($A375="","",COUNTIF('Fault Log'!$B:$B,$A375)-COUNTIFS('Fault Log'!$B:$B,$A375,'Fault Log'!$I:$I,"Closed"))</f>
        <v/>
      </c>
      <c r="P375" s="17" t="str">
        <f>IF($A375="","",COUNTIF('Fault Log'!$B:$B,$A375))</f>
        <v/>
      </c>
    </row>
    <row r="376" spans="1:16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6"/>
      <c r="M376" s="10"/>
      <c r="N376" s="10"/>
      <c r="O376" s="17" t="str">
        <f>IF($A376="","",COUNTIF('Fault Log'!$B:$B,$A376)-COUNTIFS('Fault Log'!$B:$B,$A376,'Fault Log'!$I:$I,"Closed"))</f>
        <v/>
      </c>
      <c r="P376" s="17" t="str">
        <f>IF($A376="","",COUNTIF('Fault Log'!$B:$B,$A376))</f>
        <v/>
      </c>
    </row>
    <row r="377" spans="1:16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6"/>
      <c r="M377" s="10"/>
      <c r="N377" s="10"/>
      <c r="O377" s="17" t="str">
        <f>IF($A377="","",COUNTIF('Fault Log'!$B:$B,$A377)-COUNTIFS('Fault Log'!$B:$B,$A377,'Fault Log'!$I:$I,"Closed"))</f>
        <v/>
      </c>
      <c r="P377" s="17" t="str">
        <f>IF($A377="","",COUNTIF('Fault Log'!$B:$B,$A377))</f>
        <v/>
      </c>
    </row>
    <row r="378" spans="1:16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6"/>
      <c r="M378" s="10"/>
      <c r="N378" s="10"/>
      <c r="O378" s="17" t="str">
        <f>IF($A378="","",COUNTIF('Fault Log'!$B:$B,$A378)-COUNTIFS('Fault Log'!$B:$B,$A378,'Fault Log'!$I:$I,"Closed"))</f>
        <v/>
      </c>
      <c r="P378" s="17" t="str">
        <f>IF($A378="","",COUNTIF('Fault Log'!$B:$B,$A378))</f>
        <v/>
      </c>
    </row>
    <row r="379" spans="1:16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6"/>
      <c r="M379" s="10"/>
      <c r="N379" s="10"/>
      <c r="O379" s="17" t="str">
        <f>IF($A379="","",COUNTIF('Fault Log'!$B:$B,$A379)-COUNTIFS('Fault Log'!$B:$B,$A379,'Fault Log'!$I:$I,"Closed"))</f>
        <v/>
      </c>
      <c r="P379" s="17" t="str">
        <f>IF($A379="","",COUNTIF('Fault Log'!$B:$B,$A379))</f>
        <v/>
      </c>
    </row>
    <row r="380" spans="1:16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6"/>
      <c r="M380" s="10"/>
      <c r="N380" s="10"/>
      <c r="O380" s="17" t="str">
        <f>IF($A380="","",COUNTIF('Fault Log'!$B:$B,$A380)-COUNTIFS('Fault Log'!$B:$B,$A380,'Fault Log'!$I:$I,"Closed"))</f>
        <v/>
      </c>
      <c r="P380" s="17" t="str">
        <f>IF($A380="","",COUNTIF('Fault Log'!$B:$B,$A380))</f>
        <v/>
      </c>
    </row>
    <row r="381" spans="1:16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6"/>
      <c r="M381" s="10"/>
      <c r="N381" s="10"/>
      <c r="O381" s="17" t="str">
        <f>IF($A381="","",COUNTIF('Fault Log'!$B:$B,$A381)-COUNTIFS('Fault Log'!$B:$B,$A381,'Fault Log'!$I:$I,"Closed"))</f>
        <v/>
      </c>
      <c r="P381" s="17" t="str">
        <f>IF($A381="","",COUNTIF('Fault Log'!$B:$B,$A381))</f>
        <v/>
      </c>
    </row>
    <row r="382" spans="1:16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6"/>
      <c r="M382" s="10"/>
      <c r="N382" s="10"/>
      <c r="O382" s="17" t="str">
        <f>IF($A382="","",COUNTIF('Fault Log'!$B:$B,$A382)-COUNTIFS('Fault Log'!$B:$B,$A382,'Fault Log'!$I:$I,"Closed"))</f>
        <v/>
      </c>
      <c r="P382" s="17" t="str">
        <f>IF($A382="","",COUNTIF('Fault Log'!$B:$B,$A382))</f>
        <v/>
      </c>
    </row>
    <row r="383" spans="1:16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6"/>
      <c r="M383" s="10"/>
      <c r="N383" s="10"/>
      <c r="O383" s="17" t="str">
        <f>IF($A383="","",COUNTIF('Fault Log'!$B:$B,$A383)-COUNTIFS('Fault Log'!$B:$B,$A383,'Fault Log'!$I:$I,"Closed"))</f>
        <v/>
      </c>
      <c r="P383" s="17" t="str">
        <f>IF($A383="","",COUNTIF('Fault Log'!$B:$B,$A383))</f>
        <v/>
      </c>
    </row>
    <row r="384" spans="1:16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6"/>
      <c r="M384" s="10"/>
      <c r="N384" s="10"/>
      <c r="O384" s="17" t="str">
        <f>IF($A384="","",COUNTIF('Fault Log'!$B:$B,$A384)-COUNTIFS('Fault Log'!$B:$B,$A384,'Fault Log'!$I:$I,"Closed"))</f>
        <v/>
      </c>
      <c r="P384" s="17" t="str">
        <f>IF($A384="","",COUNTIF('Fault Log'!$B:$B,$A384))</f>
        <v/>
      </c>
    </row>
    <row r="385" spans="1:16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6"/>
      <c r="M385" s="10"/>
      <c r="N385" s="10"/>
      <c r="O385" s="17" t="str">
        <f>IF($A385="","",COUNTIF('Fault Log'!$B:$B,$A385)-COUNTIFS('Fault Log'!$B:$B,$A385,'Fault Log'!$I:$I,"Closed"))</f>
        <v/>
      </c>
      <c r="P385" s="17" t="str">
        <f>IF($A385="","",COUNTIF('Fault Log'!$B:$B,$A385))</f>
        <v/>
      </c>
    </row>
    <row r="386" spans="1:16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6"/>
      <c r="M386" s="10"/>
      <c r="N386" s="10"/>
      <c r="O386" s="17" t="str">
        <f>IF($A386="","",COUNTIF('Fault Log'!$B:$B,$A386)-COUNTIFS('Fault Log'!$B:$B,$A386,'Fault Log'!$I:$I,"Closed"))</f>
        <v/>
      </c>
      <c r="P386" s="17" t="str">
        <f>IF($A386="","",COUNTIF('Fault Log'!$B:$B,$A386))</f>
        <v/>
      </c>
    </row>
    <row r="387" spans="1:16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6"/>
      <c r="M387" s="10"/>
      <c r="N387" s="10"/>
      <c r="O387" s="17" t="str">
        <f>IF($A387="","",COUNTIF('Fault Log'!$B:$B,$A387)-COUNTIFS('Fault Log'!$B:$B,$A387,'Fault Log'!$I:$I,"Closed"))</f>
        <v/>
      </c>
      <c r="P387" s="17" t="str">
        <f>IF($A387="","",COUNTIF('Fault Log'!$B:$B,$A387))</f>
        <v/>
      </c>
    </row>
    <row r="388" spans="1:16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6"/>
      <c r="M388" s="10"/>
      <c r="N388" s="10"/>
      <c r="O388" s="17" t="str">
        <f>IF($A388="","",COUNTIF('Fault Log'!$B:$B,$A388)-COUNTIFS('Fault Log'!$B:$B,$A388,'Fault Log'!$I:$I,"Closed"))</f>
        <v/>
      </c>
      <c r="P388" s="17" t="str">
        <f>IF($A388="","",COUNTIF('Fault Log'!$B:$B,$A388))</f>
        <v/>
      </c>
    </row>
    <row r="389" spans="1:16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6"/>
      <c r="M389" s="10"/>
      <c r="N389" s="10"/>
      <c r="O389" s="17" t="str">
        <f>IF($A389="","",COUNTIF('Fault Log'!$B:$B,$A389)-COUNTIFS('Fault Log'!$B:$B,$A389,'Fault Log'!$I:$I,"Closed"))</f>
        <v/>
      </c>
      <c r="P389" s="17" t="str">
        <f>IF($A389="","",COUNTIF('Fault Log'!$B:$B,$A389))</f>
        <v/>
      </c>
    </row>
    <row r="390" spans="1:16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6"/>
      <c r="M390" s="10"/>
      <c r="N390" s="10"/>
      <c r="O390" s="17" t="str">
        <f>IF($A390="","",COUNTIF('Fault Log'!$B:$B,$A390)-COUNTIFS('Fault Log'!$B:$B,$A390,'Fault Log'!$I:$I,"Closed"))</f>
        <v/>
      </c>
      <c r="P390" s="17" t="str">
        <f>IF($A390="","",COUNTIF('Fault Log'!$B:$B,$A390))</f>
        <v/>
      </c>
    </row>
    <row r="391" spans="1:16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6"/>
      <c r="M391" s="10"/>
      <c r="N391" s="10"/>
      <c r="O391" s="17" t="str">
        <f>IF($A391="","",COUNTIF('Fault Log'!$B:$B,$A391)-COUNTIFS('Fault Log'!$B:$B,$A391,'Fault Log'!$I:$I,"Closed"))</f>
        <v/>
      </c>
      <c r="P391" s="17" t="str">
        <f>IF($A391="","",COUNTIF('Fault Log'!$B:$B,$A391))</f>
        <v/>
      </c>
    </row>
    <row r="392" spans="1:16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6"/>
      <c r="M392" s="10"/>
      <c r="N392" s="10"/>
      <c r="O392" s="17" t="str">
        <f>IF($A392="","",COUNTIF('Fault Log'!$B:$B,$A392)-COUNTIFS('Fault Log'!$B:$B,$A392,'Fault Log'!$I:$I,"Closed"))</f>
        <v/>
      </c>
      <c r="P392" s="17" t="str">
        <f>IF($A392="","",COUNTIF('Fault Log'!$B:$B,$A392))</f>
        <v/>
      </c>
    </row>
    <row r="393" spans="1:16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6"/>
      <c r="M393" s="10"/>
      <c r="N393" s="10"/>
      <c r="O393" s="17" t="str">
        <f>IF($A393="","",COUNTIF('Fault Log'!$B:$B,$A393)-COUNTIFS('Fault Log'!$B:$B,$A393,'Fault Log'!$I:$I,"Closed"))</f>
        <v/>
      </c>
      <c r="P393" s="17" t="str">
        <f>IF($A393="","",COUNTIF('Fault Log'!$B:$B,$A393))</f>
        <v/>
      </c>
    </row>
    <row r="394" spans="1:16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6"/>
      <c r="M394" s="10"/>
      <c r="N394" s="10"/>
      <c r="O394" s="17" t="str">
        <f>IF($A394="","",COUNTIF('Fault Log'!$B:$B,$A394)-COUNTIFS('Fault Log'!$B:$B,$A394,'Fault Log'!$I:$I,"Closed"))</f>
        <v/>
      </c>
      <c r="P394" s="17" t="str">
        <f>IF($A394="","",COUNTIF('Fault Log'!$B:$B,$A394))</f>
        <v/>
      </c>
    </row>
    <row r="395" spans="1:16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6"/>
      <c r="M395" s="10"/>
      <c r="N395" s="10"/>
      <c r="O395" s="17" t="str">
        <f>IF($A395="","",COUNTIF('Fault Log'!$B:$B,$A395)-COUNTIFS('Fault Log'!$B:$B,$A395,'Fault Log'!$I:$I,"Closed"))</f>
        <v/>
      </c>
      <c r="P395" s="17" t="str">
        <f>IF($A395="","",COUNTIF('Fault Log'!$B:$B,$A395))</f>
        <v/>
      </c>
    </row>
    <row r="396" spans="1:16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6"/>
      <c r="M396" s="10"/>
      <c r="N396" s="10"/>
      <c r="O396" s="17" t="str">
        <f>IF($A396="","",COUNTIF('Fault Log'!$B:$B,$A396)-COUNTIFS('Fault Log'!$B:$B,$A396,'Fault Log'!$I:$I,"Closed"))</f>
        <v/>
      </c>
      <c r="P396" s="17" t="str">
        <f>IF($A396="","",COUNTIF('Fault Log'!$B:$B,$A396))</f>
        <v/>
      </c>
    </row>
    <row r="397" spans="1:16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6"/>
      <c r="M397" s="10"/>
      <c r="N397" s="10"/>
      <c r="O397" s="17" t="str">
        <f>IF($A397="","",COUNTIF('Fault Log'!$B:$B,$A397)-COUNTIFS('Fault Log'!$B:$B,$A397,'Fault Log'!$I:$I,"Closed"))</f>
        <v/>
      </c>
      <c r="P397" s="17" t="str">
        <f>IF($A397="","",COUNTIF('Fault Log'!$B:$B,$A397))</f>
        <v/>
      </c>
    </row>
    <row r="398" spans="1:16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6"/>
      <c r="M398" s="10"/>
      <c r="N398" s="10"/>
      <c r="O398" s="17" t="str">
        <f>IF($A398="","",COUNTIF('Fault Log'!$B:$B,$A398)-COUNTIFS('Fault Log'!$B:$B,$A398,'Fault Log'!$I:$I,"Closed"))</f>
        <v/>
      </c>
      <c r="P398" s="17" t="str">
        <f>IF($A398="","",COUNTIF('Fault Log'!$B:$B,$A398))</f>
        <v/>
      </c>
    </row>
    <row r="399" spans="1:16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6"/>
      <c r="M399" s="10"/>
      <c r="N399" s="10"/>
      <c r="O399" s="17" t="str">
        <f>IF($A399="","",COUNTIF('Fault Log'!$B:$B,$A399)-COUNTIFS('Fault Log'!$B:$B,$A399,'Fault Log'!$I:$I,"Closed"))</f>
        <v/>
      </c>
      <c r="P399" s="17" t="str">
        <f>IF($A399="","",COUNTIF('Fault Log'!$B:$B,$A399))</f>
        <v/>
      </c>
    </row>
    <row r="400" spans="1:16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6"/>
      <c r="M400" s="10"/>
      <c r="N400" s="10"/>
      <c r="O400" s="17" t="str">
        <f>IF($A400="","",COUNTIF('Fault Log'!$B:$B,$A400)-COUNTIFS('Fault Log'!$B:$B,$A400,'Fault Log'!$I:$I,"Closed"))</f>
        <v/>
      </c>
      <c r="P400" s="17" t="str">
        <f>IF($A400="","",COUNTIF('Fault Log'!$B:$B,$A400))</f>
        <v/>
      </c>
    </row>
    <row r="401" spans="1:16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6"/>
      <c r="M401" s="10"/>
      <c r="N401" s="10"/>
      <c r="O401" s="17" t="str">
        <f>IF($A401="","",COUNTIF('Fault Log'!$B:$B,$A401)-COUNTIFS('Fault Log'!$B:$B,$A401,'Fault Log'!$I:$I,"Closed"))</f>
        <v/>
      </c>
      <c r="P401" s="17" t="str">
        <f>IF($A401="","",COUNTIF('Fault Log'!$B:$B,$A401))</f>
        <v/>
      </c>
    </row>
    <row r="402" spans="1:16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6"/>
      <c r="M402" s="10"/>
      <c r="N402" s="10"/>
      <c r="O402" s="17" t="str">
        <f>IF($A402="","",COUNTIF('Fault Log'!$B:$B,$A402)-COUNTIFS('Fault Log'!$B:$B,$A402,'Fault Log'!$I:$I,"Closed"))</f>
        <v/>
      </c>
      <c r="P402" s="17" t="str">
        <f>IF($A402="","",COUNTIF('Fault Log'!$B:$B,$A402))</f>
        <v/>
      </c>
    </row>
    <row r="403" spans="1:16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6"/>
      <c r="M403" s="10"/>
      <c r="N403" s="10"/>
      <c r="O403" s="17" t="str">
        <f>IF($A403="","",COUNTIF('Fault Log'!$B:$B,$A403)-COUNTIFS('Fault Log'!$B:$B,$A403,'Fault Log'!$I:$I,"Closed"))</f>
        <v/>
      </c>
      <c r="P403" s="17" t="str">
        <f>IF($A403="","",COUNTIF('Fault Log'!$B:$B,$A403))</f>
        <v/>
      </c>
    </row>
    <row r="404" spans="1:16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6"/>
      <c r="M404" s="10"/>
      <c r="N404" s="10"/>
      <c r="O404" s="17" t="str">
        <f>IF($A404="","",COUNTIF('Fault Log'!$B:$B,$A404)-COUNTIFS('Fault Log'!$B:$B,$A404,'Fault Log'!$I:$I,"Closed"))</f>
        <v/>
      </c>
      <c r="P404" s="17" t="str">
        <f>IF($A404="","",COUNTIF('Fault Log'!$B:$B,$A404))</f>
        <v/>
      </c>
    </row>
    <row r="405" spans="1:16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6"/>
      <c r="M405" s="10"/>
      <c r="N405" s="10"/>
      <c r="O405" s="17" t="str">
        <f>IF($A405="","",COUNTIF('Fault Log'!$B:$B,$A405)-COUNTIFS('Fault Log'!$B:$B,$A405,'Fault Log'!$I:$I,"Closed"))</f>
        <v/>
      </c>
      <c r="P405" s="17" t="str">
        <f>IF($A405="","",COUNTIF('Fault Log'!$B:$B,$A405))</f>
        <v/>
      </c>
    </row>
    <row r="406" spans="1:16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6"/>
      <c r="M406" s="10"/>
      <c r="N406" s="10"/>
      <c r="O406" s="17" t="str">
        <f>IF($A406="","",COUNTIF('Fault Log'!$B:$B,$A406)-COUNTIFS('Fault Log'!$B:$B,$A406,'Fault Log'!$I:$I,"Closed"))</f>
        <v/>
      </c>
      <c r="P406" s="17" t="str">
        <f>IF($A406="","",COUNTIF('Fault Log'!$B:$B,$A406))</f>
        <v/>
      </c>
    </row>
    <row r="407" spans="1:16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6"/>
      <c r="M407" s="10"/>
      <c r="N407" s="10"/>
      <c r="O407" s="17" t="str">
        <f>IF($A407="","",COUNTIF('Fault Log'!$B:$B,$A407)-COUNTIFS('Fault Log'!$B:$B,$A407,'Fault Log'!$I:$I,"Closed"))</f>
        <v/>
      </c>
      <c r="P407" s="17" t="str">
        <f>IF($A407="","",COUNTIF('Fault Log'!$B:$B,$A407))</f>
        <v/>
      </c>
    </row>
    <row r="408" spans="1:16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6"/>
      <c r="M408" s="10"/>
      <c r="N408" s="10"/>
      <c r="O408" s="17" t="str">
        <f>IF($A408="","",COUNTIF('Fault Log'!$B:$B,$A408)-COUNTIFS('Fault Log'!$B:$B,$A408,'Fault Log'!$I:$I,"Closed"))</f>
        <v/>
      </c>
      <c r="P408" s="17" t="str">
        <f>IF($A408="","",COUNTIF('Fault Log'!$B:$B,$A408))</f>
        <v/>
      </c>
    </row>
    <row r="409" spans="1:16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6"/>
      <c r="M409" s="10"/>
      <c r="N409" s="10"/>
      <c r="O409" s="17" t="str">
        <f>IF($A409="","",COUNTIF('Fault Log'!$B:$B,$A409)-COUNTIFS('Fault Log'!$B:$B,$A409,'Fault Log'!$I:$I,"Closed"))</f>
        <v/>
      </c>
      <c r="P409" s="17" t="str">
        <f>IF($A409="","",COUNTIF('Fault Log'!$B:$B,$A409))</f>
        <v/>
      </c>
    </row>
    <row r="410" spans="1:16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6"/>
      <c r="M410" s="10"/>
      <c r="N410" s="10"/>
      <c r="O410" s="17" t="str">
        <f>IF($A410="","",COUNTIF('Fault Log'!$B:$B,$A410)-COUNTIFS('Fault Log'!$B:$B,$A410,'Fault Log'!$I:$I,"Closed"))</f>
        <v/>
      </c>
      <c r="P410" s="17" t="str">
        <f>IF($A410="","",COUNTIF('Fault Log'!$B:$B,$A410))</f>
        <v/>
      </c>
    </row>
    <row r="411" spans="1:16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6"/>
      <c r="M411" s="10"/>
      <c r="N411" s="10"/>
      <c r="O411" s="17" t="str">
        <f>IF($A411="","",COUNTIF('Fault Log'!$B:$B,$A411)-COUNTIFS('Fault Log'!$B:$B,$A411,'Fault Log'!$I:$I,"Closed"))</f>
        <v/>
      </c>
      <c r="P411" s="17" t="str">
        <f>IF($A411="","",COUNTIF('Fault Log'!$B:$B,$A411))</f>
        <v/>
      </c>
    </row>
    <row r="412" spans="1:16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6"/>
      <c r="M412" s="10"/>
      <c r="N412" s="10"/>
      <c r="O412" s="17" t="str">
        <f>IF($A412="","",COUNTIF('Fault Log'!$B:$B,$A412)-COUNTIFS('Fault Log'!$B:$B,$A412,'Fault Log'!$I:$I,"Closed"))</f>
        <v/>
      </c>
      <c r="P412" s="17" t="str">
        <f>IF($A412="","",COUNTIF('Fault Log'!$B:$B,$A412))</f>
        <v/>
      </c>
    </row>
    <row r="413" spans="1:16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6"/>
      <c r="M413" s="10"/>
      <c r="N413" s="10"/>
      <c r="O413" s="17" t="str">
        <f>IF($A413="","",COUNTIF('Fault Log'!$B:$B,$A413)-COUNTIFS('Fault Log'!$B:$B,$A413,'Fault Log'!$I:$I,"Closed"))</f>
        <v/>
      </c>
      <c r="P413" s="17" t="str">
        <f>IF($A413="","",COUNTIF('Fault Log'!$B:$B,$A413))</f>
        <v/>
      </c>
    </row>
    <row r="414" spans="1:16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6"/>
      <c r="M414" s="10"/>
      <c r="N414" s="10"/>
      <c r="O414" s="17" t="str">
        <f>IF($A414="","",COUNTIF('Fault Log'!$B:$B,$A414)-COUNTIFS('Fault Log'!$B:$B,$A414,'Fault Log'!$I:$I,"Closed"))</f>
        <v/>
      </c>
      <c r="P414" s="17" t="str">
        <f>IF($A414="","",COUNTIF('Fault Log'!$B:$B,$A414))</f>
        <v/>
      </c>
    </row>
    <row r="415" spans="1:16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6"/>
      <c r="M415" s="10"/>
      <c r="N415" s="10"/>
      <c r="O415" s="17" t="str">
        <f>IF($A415="","",COUNTIF('Fault Log'!$B:$B,$A415)-COUNTIFS('Fault Log'!$B:$B,$A415,'Fault Log'!$I:$I,"Closed"))</f>
        <v/>
      </c>
      <c r="P415" s="17" t="str">
        <f>IF($A415="","",COUNTIF('Fault Log'!$B:$B,$A415))</f>
        <v/>
      </c>
    </row>
    <row r="416" spans="1:16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6"/>
      <c r="M416" s="10"/>
      <c r="N416" s="10"/>
      <c r="O416" s="17" t="str">
        <f>IF($A416="","",COUNTIF('Fault Log'!$B:$B,$A416)-COUNTIFS('Fault Log'!$B:$B,$A416,'Fault Log'!$I:$I,"Closed"))</f>
        <v/>
      </c>
      <c r="P416" s="17" t="str">
        <f>IF($A416="","",COUNTIF('Fault Log'!$B:$B,$A416))</f>
        <v/>
      </c>
    </row>
    <row r="417" spans="1:16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6"/>
      <c r="M417" s="10"/>
      <c r="N417" s="10"/>
      <c r="O417" s="17" t="str">
        <f>IF($A417="","",COUNTIF('Fault Log'!$B:$B,$A417)-COUNTIFS('Fault Log'!$B:$B,$A417,'Fault Log'!$I:$I,"Closed"))</f>
        <v/>
      </c>
      <c r="P417" s="17" t="str">
        <f>IF($A417="","",COUNTIF('Fault Log'!$B:$B,$A417))</f>
        <v/>
      </c>
    </row>
    <row r="418" spans="1:16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6"/>
      <c r="M418" s="10"/>
      <c r="N418" s="10"/>
      <c r="O418" s="17" t="str">
        <f>IF($A418="","",COUNTIF('Fault Log'!$B:$B,$A418)-COUNTIFS('Fault Log'!$B:$B,$A418,'Fault Log'!$I:$I,"Closed"))</f>
        <v/>
      </c>
      <c r="P418" s="17" t="str">
        <f>IF($A418="","",COUNTIF('Fault Log'!$B:$B,$A418))</f>
        <v/>
      </c>
    </row>
    <row r="419" spans="1:16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6"/>
      <c r="M419" s="10"/>
      <c r="N419" s="10"/>
      <c r="O419" s="17" t="str">
        <f>IF($A419="","",COUNTIF('Fault Log'!$B:$B,$A419)-COUNTIFS('Fault Log'!$B:$B,$A419,'Fault Log'!$I:$I,"Closed"))</f>
        <v/>
      </c>
      <c r="P419" s="17" t="str">
        <f>IF($A419="","",COUNTIF('Fault Log'!$B:$B,$A419))</f>
        <v/>
      </c>
    </row>
    <row r="420" spans="1:16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6"/>
      <c r="M420" s="10"/>
      <c r="N420" s="10"/>
      <c r="O420" s="17" t="str">
        <f>IF($A420="","",COUNTIF('Fault Log'!$B:$B,$A420)-COUNTIFS('Fault Log'!$B:$B,$A420,'Fault Log'!$I:$I,"Closed"))</f>
        <v/>
      </c>
      <c r="P420" s="17" t="str">
        <f>IF($A420="","",COUNTIF('Fault Log'!$B:$B,$A420))</f>
        <v/>
      </c>
    </row>
    <row r="421" spans="1:16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6"/>
      <c r="M421" s="10"/>
      <c r="N421" s="10"/>
      <c r="O421" s="17" t="str">
        <f>IF($A421="","",COUNTIF('Fault Log'!$B:$B,$A421)-COUNTIFS('Fault Log'!$B:$B,$A421,'Fault Log'!$I:$I,"Closed"))</f>
        <v/>
      </c>
      <c r="P421" s="17" t="str">
        <f>IF($A421="","",COUNTIF('Fault Log'!$B:$B,$A421))</f>
        <v/>
      </c>
    </row>
    <row r="422" spans="1:16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6"/>
      <c r="M422" s="10"/>
      <c r="N422" s="10"/>
      <c r="O422" s="17" t="str">
        <f>IF($A422="","",COUNTIF('Fault Log'!$B:$B,$A422)-COUNTIFS('Fault Log'!$B:$B,$A422,'Fault Log'!$I:$I,"Closed"))</f>
        <v/>
      </c>
      <c r="P422" s="17" t="str">
        <f>IF($A422="","",COUNTIF('Fault Log'!$B:$B,$A422))</f>
        <v/>
      </c>
    </row>
    <row r="423" spans="1:16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6"/>
      <c r="M423" s="10"/>
      <c r="N423" s="10"/>
      <c r="O423" s="17" t="str">
        <f>IF($A423="","",COUNTIF('Fault Log'!$B:$B,$A423)-COUNTIFS('Fault Log'!$B:$B,$A423,'Fault Log'!$I:$I,"Closed"))</f>
        <v/>
      </c>
      <c r="P423" s="17" t="str">
        <f>IF($A423="","",COUNTIF('Fault Log'!$B:$B,$A423))</f>
        <v/>
      </c>
    </row>
    <row r="424" spans="1:16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6"/>
      <c r="M424" s="10"/>
      <c r="N424" s="10"/>
      <c r="O424" s="17" t="str">
        <f>IF($A424="","",COUNTIF('Fault Log'!$B:$B,$A424)-COUNTIFS('Fault Log'!$B:$B,$A424,'Fault Log'!$I:$I,"Closed"))</f>
        <v/>
      </c>
      <c r="P424" s="17" t="str">
        <f>IF($A424="","",COUNTIF('Fault Log'!$B:$B,$A424))</f>
        <v/>
      </c>
    </row>
    <row r="425" spans="1:16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6"/>
      <c r="M425" s="10"/>
      <c r="N425" s="10"/>
      <c r="O425" s="17" t="str">
        <f>IF($A425="","",COUNTIF('Fault Log'!$B:$B,$A425)-COUNTIFS('Fault Log'!$B:$B,$A425,'Fault Log'!$I:$I,"Closed"))</f>
        <v/>
      </c>
      <c r="P425" s="17" t="str">
        <f>IF($A425="","",COUNTIF('Fault Log'!$B:$B,$A425))</f>
        <v/>
      </c>
    </row>
    <row r="426" spans="1:16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6"/>
      <c r="M426" s="10"/>
      <c r="N426" s="10"/>
      <c r="O426" s="17" t="str">
        <f>IF($A426="","",COUNTIF('Fault Log'!$B:$B,$A426)-COUNTIFS('Fault Log'!$B:$B,$A426,'Fault Log'!$I:$I,"Closed"))</f>
        <v/>
      </c>
      <c r="P426" s="17" t="str">
        <f>IF($A426="","",COUNTIF('Fault Log'!$B:$B,$A426))</f>
        <v/>
      </c>
    </row>
    <row r="427" spans="1:16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6"/>
      <c r="M427" s="10"/>
      <c r="N427" s="10"/>
      <c r="O427" s="17" t="str">
        <f>IF($A427="","",COUNTIF('Fault Log'!$B:$B,$A427)-COUNTIFS('Fault Log'!$B:$B,$A427,'Fault Log'!$I:$I,"Closed"))</f>
        <v/>
      </c>
      <c r="P427" s="17" t="str">
        <f>IF($A427="","",COUNTIF('Fault Log'!$B:$B,$A427))</f>
        <v/>
      </c>
    </row>
    <row r="428" spans="1:16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6"/>
      <c r="M428" s="10"/>
      <c r="N428" s="10"/>
      <c r="O428" s="17" t="str">
        <f>IF($A428="","",COUNTIF('Fault Log'!$B:$B,$A428)-COUNTIFS('Fault Log'!$B:$B,$A428,'Fault Log'!$I:$I,"Closed"))</f>
        <v/>
      </c>
      <c r="P428" s="17" t="str">
        <f>IF($A428="","",COUNTIF('Fault Log'!$B:$B,$A428))</f>
        <v/>
      </c>
    </row>
    <row r="429" spans="1:16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6"/>
      <c r="M429" s="10"/>
      <c r="N429" s="10"/>
      <c r="O429" s="17" t="str">
        <f>IF($A429="","",COUNTIF('Fault Log'!$B:$B,$A429)-COUNTIFS('Fault Log'!$B:$B,$A429,'Fault Log'!$I:$I,"Closed"))</f>
        <v/>
      </c>
      <c r="P429" s="17" t="str">
        <f>IF($A429="","",COUNTIF('Fault Log'!$B:$B,$A429))</f>
        <v/>
      </c>
    </row>
    <row r="430" spans="1:16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6"/>
      <c r="M430" s="10"/>
      <c r="N430" s="10"/>
      <c r="O430" s="17" t="str">
        <f>IF($A430="","",COUNTIF('Fault Log'!$B:$B,$A430)-COUNTIFS('Fault Log'!$B:$B,$A430,'Fault Log'!$I:$I,"Closed"))</f>
        <v/>
      </c>
      <c r="P430" s="17" t="str">
        <f>IF($A430="","",COUNTIF('Fault Log'!$B:$B,$A430))</f>
        <v/>
      </c>
    </row>
    <row r="431" spans="1:16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6"/>
      <c r="M431" s="10"/>
      <c r="N431" s="10"/>
      <c r="O431" s="17" t="str">
        <f>IF($A431="","",COUNTIF('Fault Log'!$B:$B,$A431)-COUNTIFS('Fault Log'!$B:$B,$A431,'Fault Log'!$I:$I,"Closed"))</f>
        <v/>
      </c>
      <c r="P431" s="17" t="str">
        <f>IF($A431="","",COUNTIF('Fault Log'!$B:$B,$A431))</f>
        <v/>
      </c>
    </row>
    <row r="432" spans="1:16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6"/>
      <c r="M432" s="10"/>
      <c r="N432" s="10"/>
      <c r="O432" s="17" t="str">
        <f>IF($A432="","",COUNTIF('Fault Log'!$B:$B,$A432)-COUNTIFS('Fault Log'!$B:$B,$A432,'Fault Log'!$I:$I,"Closed"))</f>
        <v/>
      </c>
      <c r="P432" s="17" t="str">
        <f>IF($A432="","",COUNTIF('Fault Log'!$B:$B,$A432))</f>
        <v/>
      </c>
    </row>
    <row r="433" spans="1:16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6"/>
      <c r="M433" s="10"/>
      <c r="N433" s="10"/>
      <c r="O433" s="17" t="str">
        <f>IF($A433="","",COUNTIF('Fault Log'!$B:$B,$A433)-COUNTIFS('Fault Log'!$B:$B,$A433,'Fault Log'!$I:$I,"Closed"))</f>
        <v/>
      </c>
      <c r="P433" s="17" t="str">
        <f>IF($A433="","",COUNTIF('Fault Log'!$B:$B,$A433))</f>
        <v/>
      </c>
    </row>
    <row r="434" spans="1:16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6"/>
      <c r="M434" s="10"/>
      <c r="N434" s="10"/>
      <c r="O434" s="17" t="str">
        <f>IF($A434="","",COUNTIF('Fault Log'!$B:$B,$A434)-COUNTIFS('Fault Log'!$B:$B,$A434,'Fault Log'!$I:$I,"Closed"))</f>
        <v/>
      </c>
      <c r="P434" s="17" t="str">
        <f>IF($A434="","",COUNTIF('Fault Log'!$B:$B,$A434))</f>
        <v/>
      </c>
    </row>
    <row r="435" spans="1:16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6"/>
      <c r="M435" s="10"/>
      <c r="N435" s="10"/>
      <c r="O435" s="17" t="str">
        <f>IF($A435="","",COUNTIF('Fault Log'!$B:$B,$A435)-COUNTIFS('Fault Log'!$B:$B,$A435,'Fault Log'!$I:$I,"Closed"))</f>
        <v/>
      </c>
      <c r="P435" s="17" t="str">
        <f>IF($A435="","",COUNTIF('Fault Log'!$B:$B,$A435))</f>
        <v/>
      </c>
    </row>
    <row r="436" spans="1:16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6"/>
      <c r="M436" s="10"/>
      <c r="N436" s="10"/>
      <c r="O436" s="17" t="str">
        <f>IF($A436="","",COUNTIF('Fault Log'!$B:$B,$A436)-COUNTIFS('Fault Log'!$B:$B,$A436,'Fault Log'!$I:$I,"Closed"))</f>
        <v/>
      </c>
      <c r="P436" s="17" t="str">
        <f>IF($A436="","",COUNTIF('Fault Log'!$B:$B,$A436))</f>
        <v/>
      </c>
    </row>
    <row r="437" spans="1:16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6"/>
      <c r="M437" s="10"/>
      <c r="N437" s="10"/>
      <c r="O437" s="17" t="str">
        <f>IF($A437="","",COUNTIF('Fault Log'!$B:$B,$A437)-COUNTIFS('Fault Log'!$B:$B,$A437,'Fault Log'!$I:$I,"Closed"))</f>
        <v/>
      </c>
      <c r="P437" s="17" t="str">
        <f>IF($A437="","",COUNTIF('Fault Log'!$B:$B,$A437))</f>
        <v/>
      </c>
    </row>
    <row r="438" spans="1:16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6"/>
      <c r="M438" s="10"/>
      <c r="N438" s="10"/>
      <c r="O438" s="17" t="str">
        <f>IF($A438="","",COUNTIF('Fault Log'!$B:$B,$A438)-COUNTIFS('Fault Log'!$B:$B,$A438,'Fault Log'!$I:$I,"Closed"))</f>
        <v/>
      </c>
      <c r="P438" s="17" t="str">
        <f>IF($A438="","",COUNTIF('Fault Log'!$B:$B,$A438))</f>
        <v/>
      </c>
    </row>
    <row r="439" spans="1:16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6"/>
      <c r="M439" s="10"/>
      <c r="N439" s="10"/>
      <c r="O439" s="17" t="str">
        <f>IF($A439="","",COUNTIF('Fault Log'!$B:$B,$A439)-COUNTIFS('Fault Log'!$B:$B,$A439,'Fault Log'!$I:$I,"Closed"))</f>
        <v/>
      </c>
      <c r="P439" s="17" t="str">
        <f>IF($A439="","",COUNTIF('Fault Log'!$B:$B,$A439))</f>
        <v/>
      </c>
    </row>
    <row r="440" spans="1:16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6"/>
      <c r="M440" s="10"/>
      <c r="N440" s="10"/>
      <c r="O440" s="17" t="str">
        <f>IF($A440="","",COUNTIF('Fault Log'!$B:$B,$A440)-COUNTIFS('Fault Log'!$B:$B,$A440,'Fault Log'!$I:$I,"Closed"))</f>
        <v/>
      </c>
      <c r="P440" s="17" t="str">
        <f>IF($A440="","",COUNTIF('Fault Log'!$B:$B,$A440))</f>
        <v/>
      </c>
    </row>
    <row r="441" spans="1:16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6"/>
      <c r="M441" s="10"/>
      <c r="N441" s="10"/>
      <c r="O441" s="17" t="str">
        <f>IF($A441="","",COUNTIF('Fault Log'!$B:$B,$A441)-COUNTIFS('Fault Log'!$B:$B,$A441,'Fault Log'!$I:$I,"Closed"))</f>
        <v/>
      </c>
      <c r="P441" s="17" t="str">
        <f>IF($A441="","",COUNTIF('Fault Log'!$B:$B,$A441))</f>
        <v/>
      </c>
    </row>
    <row r="442" spans="1:16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6"/>
      <c r="M442" s="10"/>
      <c r="N442" s="10"/>
      <c r="O442" s="17" t="str">
        <f>IF($A442="","",COUNTIF('Fault Log'!$B:$B,$A442)-COUNTIFS('Fault Log'!$B:$B,$A442,'Fault Log'!$I:$I,"Closed"))</f>
        <v/>
      </c>
      <c r="P442" s="17" t="str">
        <f>IF($A442="","",COUNTIF('Fault Log'!$B:$B,$A442))</f>
        <v/>
      </c>
    </row>
    <row r="443" spans="1:16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6"/>
      <c r="M443" s="10"/>
      <c r="N443" s="10"/>
      <c r="O443" s="17" t="str">
        <f>IF($A443="","",COUNTIF('Fault Log'!$B:$B,$A443)-COUNTIFS('Fault Log'!$B:$B,$A443,'Fault Log'!$I:$I,"Closed"))</f>
        <v/>
      </c>
      <c r="P443" s="17" t="str">
        <f>IF($A443="","",COUNTIF('Fault Log'!$B:$B,$A443))</f>
        <v/>
      </c>
    </row>
    <row r="444" spans="1:16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6"/>
      <c r="M444" s="10"/>
      <c r="N444" s="10"/>
      <c r="O444" s="17" t="str">
        <f>IF($A444="","",COUNTIF('Fault Log'!$B:$B,$A444)-COUNTIFS('Fault Log'!$B:$B,$A444,'Fault Log'!$I:$I,"Closed"))</f>
        <v/>
      </c>
      <c r="P444" s="17" t="str">
        <f>IF($A444="","",COUNTIF('Fault Log'!$B:$B,$A444))</f>
        <v/>
      </c>
    </row>
    <row r="445" spans="1:16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6"/>
      <c r="M445" s="10"/>
      <c r="N445" s="10"/>
      <c r="O445" s="17" t="str">
        <f>IF($A445="","",COUNTIF('Fault Log'!$B:$B,$A445)-COUNTIFS('Fault Log'!$B:$B,$A445,'Fault Log'!$I:$I,"Closed"))</f>
        <v/>
      </c>
      <c r="P445" s="17" t="str">
        <f>IF($A445="","",COUNTIF('Fault Log'!$B:$B,$A445))</f>
        <v/>
      </c>
    </row>
    <row r="446" spans="1:16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6"/>
      <c r="M446" s="10"/>
      <c r="N446" s="10"/>
      <c r="O446" s="17" t="str">
        <f>IF($A446="","",COUNTIF('Fault Log'!$B:$B,$A446)-COUNTIFS('Fault Log'!$B:$B,$A446,'Fault Log'!$I:$I,"Closed"))</f>
        <v/>
      </c>
      <c r="P446" s="17" t="str">
        <f>IF($A446="","",COUNTIF('Fault Log'!$B:$B,$A446))</f>
        <v/>
      </c>
    </row>
    <row r="447" spans="1:16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6"/>
      <c r="M447" s="10"/>
      <c r="N447" s="10"/>
      <c r="O447" s="17" t="str">
        <f>IF($A447="","",COUNTIF('Fault Log'!$B:$B,$A447)-COUNTIFS('Fault Log'!$B:$B,$A447,'Fault Log'!$I:$I,"Closed"))</f>
        <v/>
      </c>
      <c r="P447" s="17" t="str">
        <f>IF($A447="","",COUNTIF('Fault Log'!$B:$B,$A447))</f>
        <v/>
      </c>
    </row>
    <row r="448" spans="1:16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6"/>
      <c r="M448" s="10"/>
      <c r="N448" s="10"/>
      <c r="O448" s="17" t="str">
        <f>IF($A448="","",COUNTIF('Fault Log'!$B:$B,$A448)-COUNTIFS('Fault Log'!$B:$B,$A448,'Fault Log'!$I:$I,"Closed"))</f>
        <v/>
      </c>
      <c r="P448" s="17" t="str">
        <f>IF($A448="","",COUNTIF('Fault Log'!$B:$B,$A448))</f>
        <v/>
      </c>
    </row>
    <row r="449" spans="1:16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6"/>
      <c r="M449" s="10"/>
      <c r="N449" s="10"/>
      <c r="O449" s="17" t="str">
        <f>IF($A449="","",COUNTIF('Fault Log'!$B:$B,$A449)-COUNTIFS('Fault Log'!$B:$B,$A449,'Fault Log'!$I:$I,"Closed"))</f>
        <v/>
      </c>
      <c r="P449" s="17" t="str">
        <f>IF($A449="","",COUNTIF('Fault Log'!$B:$B,$A449))</f>
        <v/>
      </c>
    </row>
    <row r="450" spans="1:16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6"/>
      <c r="M450" s="10"/>
      <c r="N450" s="10"/>
      <c r="O450" s="17" t="str">
        <f>IF($A450="","",COUNTIF('Fault Log'!$B:$B,$A450)-COUNTIFS('Fault Log'!$B:$B,$A450,'Fault Log'!$I:$I,"Closed"))</f>
        <v/>
      </c>
      <c r="P450" s="17" t="str">
        <f>IF($A450="","",COUNTIF('Fault Log'!$B:$B,$A450))</f>
        <v/>
      </c>
    </row>
    <row r="451" spans="1:16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6"/>
      <c r="M451" s="10"/>
      <c r="N451" s="10"/>
      <c r="O451" s="17" t="str">
        <f>IF($A451="","",COUNTIF('Fault Log'!$B:$B,$A451)-COUNTIFS('Fault Log'!$B:$B,$A451,'Fault Log'!$I:$I,"Closed"))</f>
        <v/>
      </c>
      <c r="P451" s="17" t="str">
        <f>IF($A451="","",COUNTIF('Fault Log'!$B:$B,$A451))</f>
        <v/>
      </c>
    </row>
    <row r="452" spans="1:16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6"/>
      <c r="M452" s="10"/>
      <c r="N452" s="10"/>
      <c r="O452" s="17" t="str">
        <f>IF($A452="","",COUNTIF('Fault Log'!$B:$B,$A452)-COUNTIFS('Fault Log'!$B:$B,$A452,'Fault Log'!$I:$I,"Closed"))</f>
        <v/>
      </c>
      <c r="P452" s="17" t="str">
        <f>IF($A452="","",COUNTIF('Fault Log'!$B:$B,$A452))</f>
        <v/>
      </c>
    </row>
    <row r="453" spans="1:16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6"/>
      <c r="M453" s="10"/>
      <c r="N453" s="10"/>
      <c r="O453" s="17" t="str">
        <f>IF($A453="","",COUNTIF('Fault Log'!$B:$B,$A453)-COUNTIFS('Fault Log'!$B:$B,$A453,'Fault Log'!$I:$I,"Closed"))</f>
        <v/>
      </c>
      <c r="P453" s="17" t="str">
        <f>IF($A453="","",COUNTIF('Fault Log'!$B:$B,$A453))</f>
        <v/>
      </c>
    </row>
    <row r="454" spans="1:16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6"/>
      <c r="M454" s="10"/>
      <c r="N454" s="10"/>
      <c r="O454" s="17" t="str">
        <f>IF($A454="","",COUNTIF('Fault Log'!$B:$B,$A454)-COUNTIFS('Fault Log'!$B:$B,$A454,'Fault Log'!$I:$I,"Closed"))</f>
        <v/>
      </c>
      <c r="P454" s="17" t="str">
        <f>IF($A454="","",COUNTIF('Fault Log'!$B:$B,$A454))</f>
        <v/>
      </c>
    </row>
    <row r="455" spans="1:16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6"/>
      <c r="M455" s="10"/>
      <c r="N455" s="10"/>
      <c r="O455" s="17" t="str">
        <f>IF($A455="","",COUNTIF('Fault Log'!$B:$B,$A455)-COUNTIFS('Fault Log'!$B:$B,$A455,'Fault Log'!$I:$I,"Closed"))</f>
        <v/>
      </c>
      <c r="P455" s="17" t="str">
        <f>IF($A455="","",COUNTIF('Fault Log'!$B:$B,$A455))</f>
        <v/>
      </c>
    </row>
    <row r="456" spans="1:16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6"/>
      <c r="M456" s="10"/>
      <c r="N456" s="10"/>
      <c r="O456" s="17" t="str">
        <f>IF($A456="","",COUNTIF('Fault Log'!$B:$B,$A456)-COUNTIFS('Fault Log'!$B:$B,$A456,'Fault Log'!$I:$I,"Closed"))</f>
        <v/>
      </c>
      <c r="P456" s="17" t="str">
        <f>IF($A456="","",COUNTIF('Fault Log'!$B:$B,$A456))</f>
        <v/>
      </c>
    </row>
    <row r="457" spans="1:16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6"/>
      <c r="M457" s="10"/>
      <c r="N457" s="10"/>
      <c r="O457" s="17" t="str">
        <f>IF($A457="","",COUNTIF('Fault Log'!$B:$B,$A457)-COUNTIFS('Fault Log'!$B:$B,$A457,'Fault Log'!$I:$I,"Closed"))</f>
        <v/>
      </c>
      <c r="P457" s="17" t="str">
        <f>IF($A457="","",COUNTIF('Fault Log'!$B:$B,$A457))</f>
        <v/>
      </c>
    </row>
    <row r="458" spans="1:16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6"/>
      <c r="M458" s="10"/>
      <c r="N458" s="10"/>
      <c r="O458" s="17" t="str">
        <f>IF($A458="","",COUNTIF('Fault Log'!$B:$B,$A458)-COUNTIFS('Fault Log'!$B:$B,$A458,'Fault Log'!$I:$I,"Closed"))</f>
        <v/>
      </c>
      <c r="P458" s="17" t="str">
        <f>IF($A458="","",COUNTIF('Fault Log'!$B:$B,$A458))</f>
        <v/>
      </c>
    </row>
    <row r="459" spans="1:16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6"/>
      <c r="M459" s="10"/>
      <c r="N459" s="10"/>
      <c r="O459" s="17" t="str">
        <f>IF($A459="","",COUNTIF('Fault Log'!$B:$B,$A459)-COUNTIFS('Fault Log'!$B:$B,$A459,'Fault Log'!$I:$I,"Closed"))</f>
        <v/>
      </c>
      <c r="P459" s="17" t="str">
        <f>IF($A459="","",COUNTIF('Fault Log'!$B:$B,$A459))</f>
        <v/>
      </c>
    </row>
    <row r="460" spans="1:16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6"/>
      <c r="M460" s="10"/>
      <c r="N460" s="10"/>
      <c r="O460" s="17" t="str">
        <f>IF($A460="","",COUNTIF('Fault Log'!$B:$B,$A460)-COUNTIFS('Fault Log'!$B:$B,$A460,'Fault Log'!$I:$I,"Closed"))</f>
        <v/>
      </c>
      <c r="P460" s="17" t="str">
        <f>IF($A460="","",COUNTIF('Fault Log'!$B:$B,$A460))</f>
        <v/>
      </c>
    </row>
    <row r="461" spans="1:16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6"/>
      <c r="M461" s="10"/>
      <c r="N461" s="10"/>
      <c r="O461" s="17" t="str">
        <f>IF($A461="","",COUNTIF('Fault Log'!$B:$B,$A461)-COUNTIFS('Fault Log'!$B:$B,$A461,'Fault Log'!$I:$I,"Closed"))</f>
        <v/>
      </c>
      <c r="P461" s="17" t="str">
        <f>IF($A461="","",COUNTIF('Fault Log'!$B:$B,$A461))</f>
        <v/>
      </c>
    </row>
    <row r="462" spans="1:16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6"/>
      <c r="M462" s="10"/>
      <c r="N462" s="10"/>
      <c r="O462" s="17" t="str">
        <f>IF($A462="","",COUNTIF('Fault Log'!$B:$B,$A462)-COUNTIFS('Fault Log'!$B:$B,$A462,'Fault Log'!$I:$I,"Closed"))</f>
        <v/>
      </c>
      <c r="P462" s="17" t="str">
        <f>IF($A462="","",COUNTIF('Fault Log'!$B:$B,$A462))</f>
        <v/>
      </c>
    </row>
    <row r="463" spans="1:16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6"/>
      <c r="M463" s="10"/>
      <c r="N463" s="10"/>
      <c r="O463" s="17" t="str">
        <f>IF($A463="","",COUNTIF('Fault Log'!$B:$B,$A463)-COUNTIFS('Fault Log'!$B:$B,$A463,'Fault Log'!$I:$I,"Closed"))</f>
        <v/>
      </c>
      <c r="P463" s="17" t="str">
        <f>IF($A463="","",COUNTIF('Fault Log'!$B:$B,$A463))</f>
        <v/>
      </c>
    </row>
    <row r="464" spans="1:16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6"/>
      <c r="M464" s="10"/>
      <c r="N464" s="10"/>
      <c r="O464" s="17" t="str">
        <f>IF($A464="","",COUNTIF('Fault Log'!$B:$B,$A464)-COUNTIFS('Fault Log'!$B:$B,$A464,'Fault Log'!$I:$I,"Closed"))</f>
        <v/>
      </c>
      <c r="P464" s="17" t="str">
        <f>IF($A464="","",COUNTIF('Fault Log'!$B:$B,$A464))</f>
        <v/>
      </c>
    </row>
    <row r="465" spans="1:16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6"/>
      <c r="M465" s="10"/>
      <c r="N465" s="10"/>
      <c r="O465" s="17" t="str">
        <f>IF($A465="","",COUNTIF('Fault Log'!$B:$B,$A465)-COUNTIFS('Fault Log'!$B:$B,$A465,'Fault Log'!$I:$I,"Closed"))</f>
        <v/>
      </c>
      <c r="P465" s="17" t="str">
        <f>IF($A465="","",COUNTIF('Fault Log'!$B:$B,$A465))</f>
        <v/>
      </c>
    </row>
    <row r="466" spans="1:16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6"/>
      <c r="M466" s="10"/>
      <c r="N466" s="10"/>
      <c r="O466" s="17" t="str">
        <f>IF($A466="","",COUNTIF('Fault Log'!$B:$B,$A466)-COUNTIFS('Fault Log'!$B:$B,$A466,'Fault Log'!$I:$I,"Closed"))</f>
        <v/>
      </c>
      <c r="P466" s="17" t="str">
        <f>IF($A466="","",COUNTIF('Fault Log'!$B:$B,$A466))</f>
        <v/>
      </c>
    </row>
    <row r="467" spans="1:16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6"/>
      <c r="M467" s="10"/>
      <c r="N467" s="10"/>
      <c r="O467" s="17" t="str">
        <f>IF($A467="","",COUNTIF('Fault Log'!$B:$B,$A467)-COUNTIFS('Fault Log'!$B:$B,$A467,'Fault Log'!$I:$I,"Closed"))</f>
        <v/>
      </c>
      <c r="P467" s="17" t="str">
        <f>IF($A467="","",COUNTIF('Fault Log'!$B:$B,$A467))</f>
        <v/>
      </c>
    </row>
    <row r="468" spans="1:16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6"/>
      <c r="M468" s="10"/>
      <c r="N468" s="10"/>
      <c r="O468" s="17" t="str">
        <f>IF($A468="","",COUNTIF('Fault Log'!$B:$B,$A468)-COUNTIFS('Fault Log'!$B:$B,$A468,'Fault Log'!$I:$I,"Closed"))</f>
        <v/>
      </c>
      <c r="P468" s="17" t="str">
        <f>IF($A468="","",COUNTIF('Fault Log'!$B:$B,$A468))</f>
        <v/>
      </c>
    </row>
    <row r="469" spans="1:16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6"/>
      <c r="M469" s="10"/>
      <c r="N469" s="10"/>
      <c r="O469" s="17" t="str">
        <f>IF($A469="","",COUNTIF('Fault Log'!$B:$B,$A469)-COUNTIFS('Fault Log'!$B:$B,$A469,'Fault Log'!$I:$I,"Closed"))</f>
        <v/>
      </c>
      <c r="P469" s="17" t="str">
        <f>IF($A469="","",COUNTIF('Fault Log'!$B:$B,$A469))</f>
        <v/>
      </c>
    </row>
    <row r="470" spans="1:16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6"/>
      <c r="M470" s="10"/>
      <c r="N470" s="10"/>
      <c r="O470" s="17" t="str">
        <f>IF($A470="","",COUNTIF('Fault Log'!$B:$B,$A470)-COUNTIFS('Fault Log'!$B:$B,$A470,'Fault Log'!$I:$I,"Closed"))</f>
        <v/>
      </c>
      <c r="P470" s="17" t="str">
        <f>IF($A470="","",COUNTIF('Fault Log'!$B:$B,$A470))</f>
        <v/>
      </c>
    </row>
    <row r="471" spans="1:16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6"/>
      <c r="M471" s="10"/>
      <c r="N471" s="10"/>
      <c r="O471" s="17" t="str">
        <f>IF($A471="","",COUNTIF('Fault Log'!$B:$B,$A471)-COUNTIFS('Fault Log'!$B:$B,$A471,'Fault Log'!$I:$I,"Closed"))</f>
        <v/>
      </c>
      <c r="P471" s="17" t="str">
        <f>IF($A471="","",COUNTIF('Fault Log'!$B:$B,$A471))</f>
        <v/>
      </c>
    </row>
    <row r="472" spans="1:16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6"/>
      <c r="M472" s="10"/>
      <c r="N472" s="10"/>
      <c r="O472" s="17" t="str">
        <f>IF($A472="","",COUNTIF('Fault Log'!$B:$B,$A472)-COUNTIFS('Fault Log'!$B:$B,$A472,'Fault Log'!$I:$I,"Closed"))</f>
        <v/>
      </c>
      <c r="P472" s="17" t="str">
        <f>IF($A472="","",COUNTIF('Fault Log'!$B:$B,$A472))</f>
        <v/>
      </c>
    </row>
    <row r="473" spans="1:16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6"/>
      <c r="M473" s="10"/>
      <c r="N473" s="10"/>
      <c r="O473" s="17" t="str">
        <f>IF($A473="","",COUNTIF('Fault Log'!$B:$B,$A473)-COUNTIFS('Fault Log'!$B:$B,$A473,'Fault Log'!$I:$I,"Closed"))</f>
        <v/>
      </c>
      <c r="P473" s="17" t="str">
        <f>IF($A473="","",COUNTIF('Fault Log'!$B:$B,$A473))</f>
        <v/>
      </c>
    </row>
    <row r="474" spans="1:16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6"/>
      <c r="M474" s="10"/>
      <c r="N474" s="10"/>
      <c r="O474" s="17" t="str">
        <f>IF($A474="","",COUNTIF('Fault Log'!$B:$B,$A474)-COUNTIFS('Fault Log'!$B:$B,$A474,'Fault Log'!$I:$I,"Closed"))</f>
        <v/>
      </c>
      <c r="P474" s="17" t="str">
        <f>IF($A474="","",COUNTIF('Fault Log'!$B:$B,$A474))</f>
        <v/>
      </c>
    </row>
    <row r="475" spans="1:16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6"/>
      <c r="M475" s="10"/>
      <c r="N475" s="10"/>
      <c r="O475" s="17" t="str">
        <f>IF($A475="","",COUNTIF('Fault Log'!$B:$B,$A475)-COUNTIFS('Fault Log'!$B:$B,$A475,'Fault Log'!$I:$I,"Closed"))</f>
        <v/>
      </c>
      <c r="P475" s="17" t="str">
        <f>IF($A475="","",COUNTIF('Fault Log'!$B:$B,$A475))</f>
        <v/>
      </c>
    </row>
    <row r="476" spans="1:16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6"/>
      <c r="M476" s="10"/>
      <c r="N476" s="10"/>
      <c r="O476" s="17" t="str">
        <f>IF($A476="","",COUNTIF('Fault Log'!$B:$B,$A476)-COUNTIFS('Fault Log'!$B:$B,$A476,'Fault Log'!$I:$I,"Closed"))</f>
        <v/>
      </c>
      <c r="P476" s="17" t="str">
        <f>IF($A476="","",COUNTIF('Fault Log'!$B:$B,$A476))</f>
        <v/>
      </c>
    </row>
    <row r="477" spans="1:16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6"/>
      <c r="M477" s="10"/>
      <c r="N477" s="10"/>
      <c r="O477" s="17" t="str">
        <f>IF($A477="","",COUNTIF('Fault Log'!$B:$B,$A477)-COUNTIFS('Fault Log'!$B:$B,$A477,'Fault Log'!$I:$I,"Closed"))</f>
        <v/>
      </c>
      <c r="P477" s="17" t="str">
        <f>IF($A477="","",COUNTIF('Fault Log'!$B:$B,$A477))</f>
        <v/>
      </c>
    </row>
    <row r="478" spans="1:16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6"/>
      <c r="M478" s="10"/>
      <c r="N478" s="10"/>
      <c r="O478" s="17" t="str">
        <f>IF($A478="","",COUNTIF('Fault Log'!$B:$B,$A478)-COUNTIFS('Fault Log'!$B:$B,$A478,'Fault Log'!$I:$I,"Closed"))</f>
        <v/>
      </c>
      <c r="P478" s="17" t="str">
        <f>IF($A478="","",COUNTIF('Fault Log'!$B:$B,$A478))</f>
        <v/>
      </c>
    </row>
    <row r="479" spans="1:16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6"/>
      <c r="M479" s="10"/>
      <c r="N479" s="10"/>
      <c r="O479" s="17" t="str">
        <f>IF($A479="","",COUNTIF('Fault Log'!$B:$B,$A479)-COUNTIFS('Fault Log'!$B:$B,$A479,'Fault Log'!$I:$I,"Closed"))</f>
        <v/>
      </c>
      <c r="P479" s="17" t="str">
        <f>IF($A479="","",COUNTIF('Fault Log'!$B:$B,$A479))</f>
        <v/>
      </c>
    </row>
    <row r="480" spans="1:16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6"/>
      <c r="M480" s="10"/>
      <c r="N480" s="10"/>
      <c r="O480" s="17" t="str">
        <f>IF($A480="","",COUNTIF('Fault Log'!$B:$B,$A480)-COUNTIFS('Fault Log'!$B:$B,$A480,'Fault Log'!$I:$I,"Closed"))</f>
        <v/>
      </c>
      <c r="P480" s="17" t="str">
        <f>IF($A480="","",COUNTIF('Fault Log'!$B:$B,$A480))</f>
        <v/>
      </c>
    </row>
    <row r="481" spans="1:16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6"/>
      <c r="M481" s="10"/>
      <c r="N481" s="10"/>
      <c r="O481" s="17" t="str">
        <f>IF($A481="","",COUNTIF('Fault Log'!$B:$B,$A481)-COUNTIFS('Fault Log'!$B:$B,$A481,'Fault Log'!$I:$I,"Closed"))</f>
        <v/>
      </c>
      <c r="P481" s="17" t="str">
        <f>IF($A481="","",COUNTIF('Fault Log'!$B:$B,$A481))</f>
        <v/>
      </c>
    </row>
    <row r="482" spans="1:16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6"/>
      <c r="M482" s="10"/>
      <c r="N482" s="10"/>
      <c r="O482" s="17" t="str">
        <f>IF($A482="","",COUNTIF('Fault Log'!$B:$B,$A482)-COUNTIFS('Fault Log'!$B:$B,$A482,'Fault Log'!$I:$I,"Closed"))</f>
        <v/>
      </c>
      <c r="P482" s="17" t="str">
        <f>IF($A482="","",COUNTIF('Fault Log'!$B:$B,$A482))</f>
        <v/>
      </c>
    </row>
    <row r="483" spans="1:16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6"/>
      <c r="M483" s="10"/>
      <c r="N483" s="10"/>
      <c r="O483" s="17" t="str">
        <f>IF($A483="","",COUNTIF('Fault Log'!$B:$B,$A483)-COUNTIFS('Fault Log'!$B:$B,$A483,'Fault Log'!$I:$I,"Closed"))</f>
        <v/>
      </c>
      <c r="P483" s="17" t="str">
        <f>IF($A483="","",COUNTIF('Fault Log'!$B:$B,$A483))</f>
        <v/>
      </c>
    </row>
    <row r="484" spans="1:16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6"/>
      <c r="M484" s="10"/>
      <c r="N484" s="10"/>
      <c r="O484" s="17" t="str">
        <f>IF($A484="","",COUNTIF('Fault Log'!$B:$B,$A484)-COUNTIFS('Fault Log'!$B:$B,$A484,'Fault Log'!$I:$I,"Closed"))</f>
        <v/>
      </c>
      <c r="P484" s="17" t="str">
        <f>IF($A484="","",COUNTIF('Fault Log'!$B:$B,$A484))</f>
        <v/>
      </c>
    </row>
    <row r="485" spans="1:16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6"/>
      <c r="M485" s="10"/>
      <c r="N485" s="10"/>
      <c r="O485" s="17" t="str">
        <f>IF($A485="","",COUNTIF('Fault Log'!$B:$B,$A485)-COUNTIFS('Fault Log'!$B:$B,$A485,'Fault Log'!$I:$I,"Closed"))</f>
        <v/>
      </c>
      <c r="P485" s="17" t="str">
        <f>IF($A485="","",COUNTIF('Fault Log'!$B:$B,$A485))</f>
        <v/>
      </c>
    </row>
    <row r="486" spans="1:16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6"/>
      <c r="M486" s="10"/>
      <c r="N486" s="10"/>
      <c r="O486" s="17" t="str">
        <f>IF($A486="","",COUNTIF('Fault Log'!$B:$B,$A486)-COUNTIFS('Fault Log'!$B:$B,$A486,'Fault Log'!$I:$I,"Closed"))</f>
        <v/>
      </c>
      <c r="P486" s="17" t="str">
        <f>IF($A486="","",COUNTIF('Fault Log'!$B:$B,$A486))</f>
        <v/>
      </c>
    </row>
    <row r="487" spans="1:16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6"/>
      <c r="M487" s="10"/>
      <c r="N487" s="10"/>
      <c r="O487" s="17" t="str">
        <f>IF($A487="","",COUNTIF('Fault Log'!$B:$B,$A487)-COUNTIFS('Fault Log'!$B:$B,$A487,'Fault Log'!$I:$I,"Closed"))</f>
        <v/>
      </c>
      <c r="P487" s="17" t="str">
        <f>IF($A487="","",COUNTIF('Fault Log'!$B:$B,$A487))</f>
        <v/>
      </c>
    </row>
    <row r="488" spans="1:16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6"/>
      <c r="M488" s="10"/>
      <c r="N488" s="10"/>
      <c r="O488" s="17" t="str">
        <f>IF($A488="","",COUNTIF('Fault Log'!$B:$B,$A488)-COUNTIFS('Fault Log'!$B:$B,$A488,'Fault Log'!$I:$I,"Closed"))</f>
        <v/>
      </c>
      <c r="P488" s="17" t="str">
        <f>IF($A488="","",COUNTIF('Fault Log'!$B:$B,$A488))</f>
        <v/>
      </c>
    </row>
    <row r="489" spans="1:16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6"/>
      <c r="M489" s="10"/>
      <c r="N489" s="10"/>
      <c r="O489" s="17" t="str">
        <f>IF($A489="","",COUNTIF('Fault Log'!$B:$B,$A489)-COUNTIFS('Fault Log'!$B:$B,$A489,'Fault Log'!$I:$I,"Closed"))</f>
        <v/>
      </c>
      <c r="P489" s="17" t="str">
        <f>IF($A489="","",COUNTIF('Fault Log'!$B:$B,$A489))</f>
        <v/>
      </c>
    </row>
    <row r="490" spans="1:16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6"/>
      <c r="M490" s="10"/>
      <c r="N490" s="10"/>
      <c r="O490" s="17" t="str">
        <f>IF($A490="","",COUNTIF('Fault Log'!$B:$B,$A490)-COUNTIFS('Fault Log'!$B:$B,$A490,'Fault Log'!$I:$I,"Closed"))</f>
        <v/>
      </c>
      <c r="P490" s="17" t="str">
        <f>IF($A490="","",COUNTIF('Fault Log'!$B:$B,$A490))</f>
        <v/>
      </c>
    </row>
    <row r="491" spans="1:16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6"/>
      <c r="M491" s="10"/>
      <c r="N491" s="10"/>
      <c r="O491" s="17" t="str">
        <f>IF($A491="","",COUNTIF('Fault Log'!$B:$B,$A491)-COUNTIFS('Fault Log'!$B:$B,$A491,'Fault Log'!$I:$I,"Closed"))</f>
        <v/>
      </c>
      <c r="P491" s="17" t="str">
        <f>IF($A491="","",COUNTIF('Fault Log'!$B:$B,$A491))</f>
        <v/>
      </c>
    </row>
    <row r="492" spans="1:16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6"/>
      <c r="M492" s="10"/>
      <c r="N492" s="10"/>
      <c r="O492" s="17" t="str">
        <f>IF($A492="","",COUNTIF('Fault Log'!$B:$B,$A492)-COUNTIFS('Fault Log'!$B:$B,$A492,'Fault Log'!$I:$I,"Closed"))</f>
        <v/>
      </c>
      <c r="P492" s="17" t="str">
        <f>IF($A492="","",COUNTIF('Fault Log'!$B:$B,$A492))</f>
        <v/>
      </c>
    </row>
    <row r="493" spans="1:16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6"/>
      <c r="M493" s="10"/>
      <c r="N493" s="10"/>
      <c r="O493" s="17" t="str">
        <f>IF($A493="","",COUNTIF('Fault Log'!$B:$B,$A493)-COUNTIFS('Fault Log'!$B:$B,$A493,'Fault Log'!$I:$I,"Closed"))</f>
        <v/>
      </c>
      <c r="P493" s="17" t="str">
        <f>IF($A493="","",COUNTIF('Fault Log'!$B:$B,$A493))</f>
        <v/>
      </c>
    </row>
    <row r="494" spans="1:16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6"/>
      <c r="M494" s="10"/>
      <c r="N494" s="10"/>
      <c r="O494" s="17" t="str">
        <f>IF($A494="","",COUNTIF('Fault Log'!$B:$B,$A494)-COUNTIFS('Fault Log'!$B:$B,$A494,'Fault Log'!$I:$I,"Closed"))</f>
        <v/>
      </c>
      <c r="P494" s="17" t="str">
        <f>IF($A494="","",COUNTIF('Fault Log'!$B:$B,$A494))</f>
        <v/>
      </c>
    </row>
    <row r="495" spans="1:16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6"/>
      <c r="M495" s="10"/>
      <c r="N495" s="10"/>
      <c r="O495" s="17" t="str">
        <f>IF($A495="","",COUNTIF('Fault Log'!$B:$B,$A495)-COUNTIFS('Fault Log'!$B:$B,$A495,'Fault Log'!$I:$I,"Closed"))</f>
        <v/>
      </c>
      <c r="P495" s="17" t="str">
        <f>IF($A495="","",COUNTIF('Fault Log'!$B:$B,$A495))</f>
        <v/>
      </c>
    </row>
    <row r="496" spans="1:16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6"/>
      <c r="M496" s="10"/>
      <c r="N496" s="10"/>
      <c r="O496" s="17" t="str">
        <f>IF($A496="","",COUNTIF('Fault Log'!$B:$B,$A496)-COUNTIFS('Fault Log'!$B:$B,$A496,'Fault Log'!$I:$I,"Closed"))</f>
        <v/>
      </c>
      <c r="P496" s="17" t="str">
        <f>IF($A496="","",COUNTIF('Fault Log'!$B:$B,$A496))</f>
        <v/>
      </c>
    </row>
    <row r="497" spans="1:16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6"/>
      <c r="M497" s="10"/>
      <c r="N497" s="10"/>
      <c r="O497" s="17" t="str">
        <f>IF($A497="","",COUNTIF('Fault Log'!$B:$B,$A497)-COUNTIFS('Fault Log'!$B:$B,$A497,'Fault Log'!$I:$I,"Closed"))</f>
        <v/>
      </c>
      <c r="P497" s="17" t="str">
        <f>IF($A497="","",COUNTIF('Fault Log'!$B:$B,$A497))</f>
        <v/>
      </c>
    </row>
    <row r="498" spans="1:16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6"/>
      <c r="M498" s="10"/>
      <c r="N498" s="10"/>
      <c r="O498" s="17" t="str">
        <f>IF($A498="","",COUNTIF('Fault Log'!$B:$B,$A498)-COUNTIFS('Fault Log'!$B:$B,$A498,'Fault Log'!$I:$I,"Closed"))</f>
        <v/>
      </c>
      <c r="P498" s="17" t="str">
        <f>IF($A498="","",COUNTIF('Fault Log'!$B:$B,$A498))</f>
        <v/>
      </c>
    </row>
    <row r="499" spans="1:16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6"/>
      <c r="M499" s="10"/>
      <c r="N499" s="10"/>
      <c r="O499" s="17" t="str">
        <f>IF($A499="","",COUNTIF('Fault Log'!$B:$B,$A499)-COUNTIFS('Fault Log'!$B:$B,$A499,'Fault Log'!$I:$I,"Closed"))</f>
        <v/>
      </c>
      <c r="P499" s="17" t="str">
        <f>IF($A499="","",COUNTIF('Fault Log'!$B:$B,$A499))</f>
        <v/>
      </c>
    </row>
    <row r="500" spans="1:16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6"/>
      <c r="M500" s="10"/>
      <c r="N500" s="10"/>
      <c r="O500" s="17" t="str">
        <f>IF($A500="","",COUNTIF('Fault Log'!$B:$B,$A500)-COUNTIFS('Fault Log'!$B:$B,$A500,'Fault Log'!$I:$I,"Closed"))</f>
        <v/>
      </c>
      <c r="P500" s="17" t="str">
        <f>IF($A500="","",COUNTIF('Fault Log'!$B:$B,$A500))</f>
        <v/>
      </c>
    </row>
  </sheetData>
  <autoFilter ref="A1:P500" xr:uid="{00000000-0009-0000-0000-000002000000}"/>
  <conditionalFormatting sqref="A2:A500">
    <cfRule type="expression" dxfId="10" priority="3">
      <formula>AND($A2&lt;&gt;"",COUNTIF($A:$A,$A2)&gt;1)</formula>
    </cfRule>
  </conditionalFormatting>
  <conditionalFormatting sqref="A2:P500">
    <cfRule type="expression" dxfId="9" priority="2">
      <formula>$F2="Disposed"</formula>
    </cfRule>
  </conditionalFormatting>
  <conditionalFormatting sqref="E2:E500">
    <cfRule type="expression" dxfId="8" priority="4">
      <formula>AND($E2&lt;&gt;"",COUNTIF($E:$E,$E2)&gt;1)</formula>
    </cfRule>
  </conditionalFormatting>
  <conditionalFormatting sqref="F2:F500">
    <cfRule type="expression" dxfId="7" priority="5">
      <formula>OR($F2="Faulty",$F2="Under Repair",$F2="Lost / Stolen")</formula>
    </cfRule>
  </conditionalFormatting>
  <conditionalFormatting sqref="H2:H500">
    <cfRule type="expression" dxfId="6" priority="6">
      <formula>AND($F2="In Use",$H2="")</formula>
    </cfRule>
  </conditionalFormatting>
  <conditionalFormatting sqref="O2:O500">
    <cfRule type="cellIs" dxfId="5" priority="7" operator="greaterThan">
      <formula>0</formula>
    </cfRule>
  </conditionalFormatting>
  <dataValidations count="4">
    <dataValidation type="list" allowBlank="1" showErrorMessage="1" errorTitle="Not on the list" error="Pick from the dropdown, or add the value on the Lists tab first." sqref="B2:B500" xr:uid="{00000000-0002-0000-0200-000000000000}">
      <formula1>lst_Category</formula1>
      <formula2>0</formula2>
    </dataValidation>
    <dataValidation type="list" allowBlank="1" showErrorMessage="1" errorTitle="Not on the list" error="Pick from the dropdown, or add the value on the Lists tab first." sqref="F2:F500" xr:uid="{00000000-0002-0000-0200-000001000000}">
      <formula1>lst_Status</formula1>
      <formula2>0</formula2>
    </dataValidation>
    <dataValidation type="list" allowBlank="1" showErrorMessage="1" errorTitle="Not on the list" error="Pick from the dropdown, or add the value on the Lists tab first." sqref="G2:G500" xr:uid="{00000000-0002-0000-0200-000002000000}">
      <formula1>lst_Condition</formula1>
      <formula2>0</formula2>
    </dataValidation>
    <dataValidation type="list" allowBlank="1" showErrorMessage="1" errorTitle="Not on the list" error="Pick from the dropdown, or add the value on the Lists tab first." sqref="J2:J500" xr:uid="{00000000-0002-0000-0200-000003000000}">
      <formula1>lst_Department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  <pageSetUpPr fitToPage="1"/>
  </sheetPr>
  <dimension ref="A1:H500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1" customWidth="1"/>
    <col min="2" max="2" width="12" customWidth="1"/>
    <col min="3" max="3" width="14" customWidth="1"/>
    <col min="4" max="4" width="18" customWidth="1"/>
    <col min="5" max="6" width="24" customWidth="1"/>
    <col min="7" max="7" width="40" customWidth="1"/>
    <col min="8" max="8" width="14" customWidth="1"/>
  </cols>
  <sheetData>
    <row r="1" spans="1:8" ht="31.5" customHeight="1" x14ac:dyDescent="0.3">
      <c r="A1" s="14" t="s">
        <v>106</v>
      </c>
      <c r="B1" s="14" t="s">
        <v>107</v>
      </c>
      <c r="C1" s="14" t="s">
        <v>41</v>
      </c>
      <c r="D1" s="14" t="s">
        <v>108</v>
      </c>
      <c r="E1" s="14" t="s">
        <v>109</v>
      </c>
      <c r="F1" s="14" t="s">
        <v>110</v>
      </c>
      <c r="G1" s="14" t="s">
        <v>111</v>
      </c>
      <c r="H1" s="14" t="s">
        <v>112</v>
      </c>
    </row>
    <row r="2" spans="1:8" x14ac:dyDescent="0.3">
      <c r="A2" s="10" t="s">
        <v>113</v>
      </c>
      <c r="B2" s="16">
        <v>46296</v>
      </c>
      <c r="C2" s="10" t="s">
        <v>57</v>
      </c>
      <c r="D2" s="10" t="s">
        <v>114</v>
      </c>
      <c r="E2" s="10" t="s">
        <v>115</v>
      </c>
      <c r="F2" s="10" t="s">
        <v>64</v>
      </c>
      <c r="G2" s="10" t="s">
        <v>116</v>
      </c>
      <c r="H2" s="10"/>
    </row>
    <row r="3" spans="1:8" x14ac:dyDescent="0.3">
      <c r="A3" s="10" t="s">
        <v>117</v>
      </c>
      <c r="B3" s="16">
        <v>46296</v>
      </c>
      <c r="C3" s="10" t="s">
        <v>69</v>
      </c>
      <c r="D3" s="10" t="s">
        <v>114</v>
      </c>
      <c r="E3" s="10" t="s">
        <v>115</v>
      </c>
      <c r="F3" s="10" t="s">
        <v>64</v>
      </c>
      <c r="G3" s="10" t="s">
        <v>116</v>
      </c>
      <c r="H3" s="10"/>
    </row>
    <row r="4" spans="1:8" x14ac:dyDescent="0.3">
      <c r="A4" s="10" t="s">
        <v>118</v>
      </c>
      <c r="B4" s="16">
        <v>46239</v>
      </c>
      <c r="C4" s="10" t="s">
        <v>73</v>
      </c>
      <c r="D4" s="10" t="s">
        <v>114</v>
      </c>
      <c r="E4" s="10" t="s">
        <v>115</v>
      </c>
      <c r="F4" s="18" t="s">
        <v>76</v>
      </c>
      <c r="G4" s="10" t="s">
        <v>119</v>
      </c>
      <c r="H4" s="10"/>
    </row>
    <row r="5" spans="1:8" x14ac:dyDescent="0.3">
      <c r="A5" s="10" t="s">
        <v>120</v>
      </c>
      <c r="B5" s="16">
        <v>46239</v>
      </c>
      <c r="C5" s="10" t="s">
        <v>81</v>
      </c>
      <c r="D5" s="10" t="s">
        <v>114</v>
      </c>
      <c r="E5" s="10" t="s">
        <v>115</v>
      </c>
      <c r="F5" s="18" t="s">
        <v>76</v>
      </c>
      <c r="G5" s="10" t="s">
        <v>119</v>
      </c>
      <c r="H5" s="10"/>
    </row>
    <row r="6" spans="1:8" x14ac:dyDescent="0.3">
      <c r="A6" s="10" t="s">
        <v>121</v>
      </c>
      <c r="B6" s="16">
        <v>46239</v>
      </c>
      <c r="C6" s="10" t="s">
        <v>82</v>
      </c>
      <c r="D6" s="10" t="s">
        <v>114</v>
      </c>
      <c r="E6" s="10" t="s">
        <v>115</v>
      </c>
      <c r="F6" s="18" t="s">
        <v>76</v>
      </c>
      <c r="G6" s="10" t="s">
        <v>119</v>
      </c>
      <c r="H6" s="10"/>
    </row>
    <row r="7" spans="1:8" x14ac:dyDescent="0.3">
      <c r="A7" s="10" t="s">
        <v>122</v>
      </c>
      <c r="B7" s="16">
        <v>46239</v>
      </c>
      <c r="C7" s="10" t="s">
        <v>86</v>
      </c>
      <c r="D7" s="10" t="s">
        <v>114</v>
      </c>
      <c r="E7" s="10" t="s">
        <v>115</v>
      </c>
      <c r="F7" s="18" t="s">
        <v>87</v>
      </c>
      <c r="G7" s="10" t="s">
        <v>119</v>
      </c>
      <c r="H7" s="10"/>
    </row>
    <row r="8" spans="1:8" x14ac:dyDescent="0.3">
      <c r="A8" s="10" t="s">
        <v>123</v>
      </c>
      <c r="B8" s="16">
        <v>46239</v>
      </c>
      <c r="C8" s="10" t="s">
        <v>89</v>
      </c>
      <c r="D8" s="10" t="s">
        <v>114</v>
      </c>
      <c r="E8" s="10" t="s">
        <v>115</v>
      </c>
      <c r="F8" s="18" t="s">
        <v>87</v>
      </c>
      <c r="G8" s="10" t="s">
        <v>119</v>
      </c>
      <c r="H8" s="10"/>
    </row>
    <row r="9" spans="1:8" x14ac:dyDescent="0.3">
      <c r="A9" s="10" t="s">
        <v>124</v>
      </c>
      <c r="B9" s="16">
        <v>46239</v>
      </c>
      <c r="C9" s="10" t="s">
        <v>90</v>
      </c>
      <c r="D9" s="10" t="s">
        <v>114</v>
      </c>
      <c r="E9" s="10" t="s">
        <v>115</v>
      </c>
      <c r="F9" s="18" t="s">
        <v>87</v>
      </c>
      <c r="G9" s="10" t="s">
        <v>119</v>
      </c>
      <c r="H9" s="10"/>
    </row>
    <row r="10" spans="1:8" x14ac:dyDescent="0.3">
      <c r="A10" s="10" t="s">
        <v>125</v>
      </c>
      <c r="B10" s="16">
        <v>46239</v>
      </c>
      <c r="C10" s="10" t="s">
        <v>91</v>
      </c>
      <c r="D10" s="10" t="s">
        <v>114</v>
      </c>
      <c r="E10" s="10" t="s">
        <v>115</v>
      </c>
      <c r="F10" s="18" t="s">
        <v>92</v>
      </c>
      <c r="G10" s="10" t="s">
        <v>119</v>
      </c>
      <c r="H10" s="10"/>
    </row>
    <row r="11" spans="1:8" x14ac:dyDescent="0.3">
      <c r="A11" s="10" t="s">
        <v>126</v>
      </c>
      <c r="B11" s="16">
        <v>46239</v>
      </c>
      <c r="C11" s="10" t="s">
        <v>94</v>
      </c>
      <c r="D11" s="10" t="s">
        <v>114</v>
      </c>
      <c r="E11" s="10" t="s">
        <v>115</v>
      </c>
      <c r="F11" s="18" t="s">
        <v>92</v>
      </c>
      <c r="G11" s="10" t="s">
        <v>119</v>
      </c>
      <c r="H11" s="10"/>
    </row>
    <row r="12" spans="1:8" x14ac:dyDescent="0.3">
      <c r="A12" s="10" t="s">
        <v>127</v>
      </c>
      <c r="B12" s="16">
        <v>46239</v>
      </c>
      <c r="C12" s="10" t="s">
        <v>95</v>
      </c>
      <c r="D12" s="10" t="s">
        <v>114</v>
      </c>
      <c r="E12" s="10" t="s">
        <v>115</v>
      </c>
      <c r="F12" s="18" t="s">
        <v>92</v>
      </c>
      <c r="G12" s="10" t="s">
        <v>119</v>
      </c>
      <c r="H12" s="10"/>
    </row>
    <row r="13" spans="1:8" x14ac:dyDescent="0.3">
      <c r="A13" s="10" t="s">
        <v>128</v>
      </c>
      <c r="B13" s="16">
        <v>46239</v>
      </c>
      <c r="C13" s="10" t="s">
        <v>96</v>
      </c>
      <c r="D13" s="10" t="s">
        <v>114</v>
      </c>
      <c r="E13" s="10" t="s">
        <v>115</v>
      </c>
      <c r="F13" s="18" t="s">
        <v>97</v>
      </c>
      <c r="G13" s="10" t="s">
        <v>119</v>
      </c>
      <c r="H13" s="10"/>
    </row>
    <row r="14" spans="1:8" x14ac:dyDescent="0.3">
      <c r="A14" s="10" t="s">
        <v>129</v>
      </c>
      <c r="B14" s="16">
        <v>46239</v>
      </c>
      <c r="C14" s="10" t="s">
        <v>99</v>
      </c>
      <c r="D14" s="10" t="s">
        <v>114</v>
      </c>
      <c r="E14" s="10" t="s">
        <v>115</v>
      </c>
      <c r="F14" s="18" t="s">
        <v>97</v>
      </c>
      <c r="G14" s="10" t="s">
        <v>119</v>
      </c>
      <c r="H14" s="10"/>
    </row>
    <row r="15" spans="1:8" x14ac:dyDescent="0.3">
      <c r="A15" s="10" t="s">
        <v>130</v>
      </c>
      <c r="B15" s="16">
        <v>46239</v>
      </c>
      <c r="C15" s="10" t="s">
        <v>100</v>
      </c>
      <c r="D15" s="10" t="s">
        <v>114</v>
      </c>
      <c r="E15" s="10" t="s">
        <v>115</v>
      </c>
      <c r="F15" s="18" t="s">
        <v>97</v>
      </c>
      <c r="G15" s="10" t="s">
        <v>119</v>
      </c>
      <c r="H15" s="10"/>
    </row>
    <row r="16" spans="1:8" x14ac:dyDescent="0.3">
      <c r="A16" s="10" t="s">
        <v>131</v>
      </c>
      <c r="B16" s="16">
        <v>46239</v>
      </c>
      <c r="C16" s="10" t="s">
        <v>101</v>
      </c>
      <c r="D16" s="10" t="s">
        <v>114</v>
      </c>
      <c r="E16" s="10" t="s">
        <v>115</v>
      </c>
      <c r="F16" s="18" t="s">
        <v>102</v>
      </c>
      <c r="G16" s="10" t="s">
        <v>119</v>
      </c>
      <c r="H16" s="10"/>
    </row>
    <row r="17" spans="1:8" x14ac:dyDescent="0.3">
      <c r="A17" s="10" t="s">
        <v>132</v>
      </c>
      <c r="B17" s="16">
        <v>46239</v>
      </c>
      <c r="C17" s="10" t="s">
        <v>104</v>
      </c>
      <c r="D17" s="10" t="s">
        <v>114</v>
      </c>
      <c r="E17" s="10" t="s">
        <v>115</v>
      </c>
      <c r="F17" s="18" t="s">
        <v>102</v>
      </c>
      <c r="G17" s="10" t="s">
        <v>119</v>
      </c>
      <c r="H17" s="10"/>
    </row>
    <row r="18" spans="1:8" x14ac:dyDescent="0.3">
      <c r="A18" s="10" t="s">
        <v>133</v>
      </c>
      <c r="B18" s="16">
        <v>46239</v>
      </c>
      <c r="C18" s="10" t="s">
        <v>105</v>
      </c>
      <c r="D18" s="10" t="s">
        <v>114</v>
      </c>
      <c r="E18" s="10" t="s">
        <v>115</v>
      </c>
      <c r="F18" s="18" t="s">
        <v>102</v>
      </c>
      <c r="G18" s="10" t="s">
        <v>119</v>
      </c>
      <c r="H18" s="10"/>
    </row>
    <row r="19" spans="1:8" x14ac:dyDescent="0.3">
      <c r="A19" s="10"/>
      <c r="B19" s="16"/>
      <c r="C19" s="10"/>
      <c r="D19" s="10"/>
      <c r="E19" s="10"/>
      <c r="F19" s="10"/>
      <c r="G19" s="10"/>
      <c r="H19" s="10"/>
    </row>
    <row r="20" spans="1:8" x14ac:dyDescent="0.3">
      <c r="A20" s="10"/>
      <c r="B20" s="16"/>
      <c r="C20" s="10"/>
      <c r="D20" s="10"/>
      <c r="E20" s="10"/>
      <c r="F20" s="10"/>
      <c r="G20" s="10"/>
      <c r="H20" s="10"/>
    </row>
    <row r="21" spans="1:8" x14ac:dyDescent="0.3">
      <c r="A21" s="10"/>
      <c r="B21" s="16"/>
      <c r="C21" s="10"/>
      <c r="D21" s="10"/>
      <c r="E21" s="10"/>
      <c r="F21" s="10"/>
      <c r="G21" s="10"/>
      <c r="H21" s="10"/>
    </row>
    <row r="22" spans="1:8" x14ac:dyDescent="0.3">
      <c r="A22" s="10"/>
      <c r="B22" s="16"/>
      <c r="C22" s="10"/>
      <c r="D22" s="10"/>
      <c r="E22" s="10"/>
      <c r="F22" s="10"/>
      <c r="G22" s="10"/>
      <c r="H22" s="10"/>
    </row>
    <row r="23" spans="1:8" x14ac:dyDescent="0.3">
      <c r="A23" s="10"/>
      <c r="B23" s="16"/>
      <c r="C23" s="10"/>
      <c r="D23" s="10"/>
      <c r="E23" s="10"/>
      <c r="F23" s="10"/>
      <c r="G23" s="10"/>
      <c r="H23" s="10"/>
    </row>
    <row r="24" spans="1:8" x14ac:dyDescent="0.3">
      <c r="A24" s="10"/>
      <c r="B24" s="16"/>
      <c r="C24" s="10"/>
      <c r="D24" s="10"/>
      <c r="E24" s="10"/>
      <c r="F24" s="10"/>
      <c r="G24" s="10"/>
      <c r="H24" s="10"/>
    </row>
    <row r="25" spans="1:8" x14ac:dyDescent="0.3">
      <c r="A25" s="10"/>
      <c r="B25" s="16"/>
      <c r="C25" s="10"/>
      <c r="D25" s="10"/>
      <c r="E25" s="10"/>
      <c r="F25" s="10"/>
      <c r="G25" s="10"/>
      <c r="H25" s="10"/>
    </row>
    <row r="26" spans="1:8" x14ac:dyDescent="0.3">
      <c r="A26" s="10"/>
      <c r="B26" s="16"/>
      <c r="C26" s="10"/>
      <c r="D26" s="10"/>
      <c r="E26" s="10"/>
      <c r="F26" s="10"/>
      <c r="G26" s="10"/>
      <c r="H26" s="10"/>
    </row>
    <row r="27" spans="1:8" x14ac:dyDescent="0.3">
      <c r="A27" s="10"/>
      <c r="B27" s="16"/>
      <c r="C27" s="10"/>
      <c r="D27" s="10"/>
      <c r="E27" s="10"/>
      <c r="F27" s="10"/>
      <c r="G27" s="10"/>
      <c r="H27" s="10"/>
    </row>
    <row r="28" spans="1:8" x14ac:dyDescent="0.3">
      <c r="A28" s="10"/>
      <c r="B28" s="16"/>
      <c r="C28" s="10"/>
      <c r="D28" s="10"/>
      <c r="E28" s="10"/>
      <c r="F28" s="10"/>
      <c r="G28" s="10"/>
      <c r="H28" s="10"/>
    </row>
    <row r="29" spans="1:8" x14ac:dyDescent="0.3">
      <c r="A29" s="10"/>
      <c r="B29" s="16"/>
      <c r="C29" s="10"/>
      <c r="D29" s="10"/>
      <c r="E29" s="10"/>
      <c r="F29" s="10"/>
      <c r="G29" s="10"/>
      <c r="H29" s="10"/>
    </row>
    <row r="30" spans="1:8" x14ac:dyDescent="0.3">
      <c r="A30" s="10"/>
      <c r="B30" s="16"/>
      <c r="C30" s="10"/>
      <c r="D30" s="10"/>
      <c r="E30" s="10"/>
      <c r="F30" s="10"/>
      <c r="G30" s="10"/>
      <c r="H30" s="10"/>
    </row>
    <row r="31" spans="1:8" x14ac:dyDescent="0.3">
      <c r="A31" s="10"/>
      <c r="B31" s="16"/>
      <c r="C31" s="10"/>
      <c r="D31" s="10"/>
      <c r="E31" s="10"/>
      <c r="F31" s="10"/>
      <c r="G31" s="10"/>
      <c r="H31" s="10"/>
    </row>
    <row r="32" spans="1:8" x14ac:dyDescent="0.3">
      <c r="A32" s="10"/>
      <c r="B32" s="16"/>
      <c r="C32" s="10"/>
      <c r="D32" s="10"/>
      <c r="E32" s="10"/>
      <c r="F32" s="10"/>
      <c r="G32" s="10"/>
      <c r="H32" s="10"/>
    </row>
    <row r="33" spans="1:8" x14ac:dyDescent="0.3">
      <c r="A33" s="10"/>
      <c r="B33" s="16"/>
      <c r="C33" s="10"/>
      <c r="D33" s="10"/>
      <c r="E33" s="10"/>
      <c r="F33" s="10"/>
      <c r="G33" s="10"/>
      <c r="H33" s="10"/>
    </row>
    <row r="34" spans="1:8" x14ac:dyDescent="0.3">
      <c r="A34" s="10"/>
      <c r="B34" s="16"/>
      <c r="C34" s="10"/>
      <c r="D34" s="10"/>
      <c r="E34" s="10"/>
      <c r="F34" s="10"/>
      <c r="G34" s="10"/>
      <c r="H34" s="10"/>
    </row>
    <row r="35" spans="1:8" x14ac:dyDescent="0.3">
      <c r="A35" s="10"/>
      <c r="B35" s="16"/>
      <c r="C35" s="10"/>
      <c r="D35" s="10"/>
      <c r="E35" s="10"/>
      <c r="F35" s="10"/>
      <c r="G35" s="10"/>
      <c r="H35" s="10"/>
    </row>
    <row r="36" spans="1:8" x14ac:dyDescent="0.3">
      <c r="A36" s="10"/>
      <c r="B36" s="16"/>
      <c r="C36" s="10"/>
      <c r="D36" s="10"/>
      <c r="E36" s="10"/>
      <c r="F36" s="10"/>
      <c r="G36" s="10"/>
      <c r="H36" s="10"/>
    </row>
    <row r="37" spans="1:8" x14ac:dyDescent="0.3">
      <c r="A37" s="10"/>
      <c r="B37" s="16"/>
      <c r="C37" s="10"/>
      <c r="D37" s="10"/>
      <c r="E37" s="10"/>
      <c r="F37" s="10"/>
      <c r="G37" s="10"/>
      <c r="H37" s="10"/>
    </row>
    <row r="38" spans="1:8" x14ac:dyDescent="0.3">
      <c r="A38" s="10"/>
      <c r="B38" s="16"/>
      <c r="C38" s="10"/>
      <c r="D38" s="10"/>
      <c r="E38" s="10"/>
      <c r="F38" s="10"/>
      <c r="G38" s="10"/>
      <c r="H38" s="10"/>
    </row>
    <row r="39" spans="1:8" x14ac:dyDescent="0.3">
      <c r="A39" s="10"/>
      <c r="B39" s="16"/>
      <c r="C39" s="10"/>
      <c r="D39" s="10"/>
      <c r="E39" s="10"/>
      <c r="F39" s="10"/>
      <c r="G39" s="10"/>
      <c r="H39" s="10"/>
    </row>
    <row r="40" spans="1:8" x14ac:dyDescent="0.3">
      <c r="A40" s="10"/>
      <c r="B40" s="16"/>
      <c r="C40" s="10"/>
      <c r="D40" s="10"/>
      <c r="E40" s="10"/>
      <c r="F40" s="10"/>
      <c r="G40" s="10"/>
      <c r="H40" s="10"/>
    </row>
    <row r="41" spans="1:8" x14ac:dyDescent="0.3">
      <c r="A41" s="10"/>
      <c r="B41" s="16"/>
      <c r="C41" s="10"/>
      <c r="D41" s="10"/>
      <c r="E41" s="10"/>
      <c r="F41" s="10"/>
      <c r="G41" s="10"/>
      <c r="H41" s="10"/>
    </row>
    <row r="42" spans="1:8" x14ac:dyDescent="0.3">
      <c r="A42" s="10"/>
      <c r="B42" s="16"/>
      <c r="C42" s="10"/>
      <c r="D42" s="10"/>
      <c r="E42" s="10"/>
      <c r="F42" s="10"/>
      <c r="G42" s="10"/>
      <c r="H42" s="10"/>
    </row>
    <row r="43" spans="1:8" x14ac:dyDescent="0.3">
      <c r="A43" s="10"/>
      <c r="B43" s="16"/>
      <c r="C43" s="10"/>
      <c r="D43" s="10"/>
      <c r="E43" s="10"/>
      <c r="F43" s="10"/>
      <c r="G43" s="10"/>
      <c r="H43" s="10"/>
    </row>
    <row r="44" spans="1:8" x14ac:dyDescent="0.3">
      <c r="A44" s="10"/>
      <c r="B44" s="16"/>
      <c r="C44" s="10"/>
      <c r="D44" s="10"/>
      <c r="E44" s="10"/>
      <c r="F44" s="10"/>
      <c r="G44" s="10"/>
      <c r="H44" s="10"/>
    </row>
    <row r="45" spans="1:8" x14ac:dyDescent="0.3">
      <c r="A45" s="10"/>
      <c r="B45" s="16"/>
      <c r="C45" s="10"/>
      <c r="D45" s="10"/>
      <c r="E45" s="10"/>
      <c r="F45" s="10"/>
      <c r="G45" s="10"/>
      <c r="H45" s="10"/>
    </row>
    <row r="46" spans="1:8" x14ac:dyDescent="0.3">
      <c r="A46" s="10"/>
      <c r="B46" s="16"/>
      <c r="C46" s="10"/>
      <c r="D46" s="10"/>
      <c r="E46" s="10"/>
      <c r="F46" s="10"/>
      <c r="G46" s="10"/>
      <c r="H46" s="10"/>
    </row>
    <row r="47" spans="1:8" x14ac:dyDescent="0.3">
      <c r="A47" s="10"/>
      <c r="B47" s="16"/>
      <c r="C47" s="10"/>
      <c r="D47" s="10"/>
      <c r="E47" s="10"/>
      <c r="F47" s="10"/>
      <c r="G47" s="10"/>
      <c r="H47" s="10"/>
    </row>
    <row r="48" spans="1:8" x14ac:dyDescent="0.3">
      <c r="A48" s="10"/>
      <c r="B48" s="16"/>
      <c r="C48" s="10"/>
      <c r="D48" s="10"/>
      <c r="E48" s="10"/>
      <c r="F48" s="10"/>
      <c r="G48" s="10"/>
      <c r="H48" s="10"/>
    </row>
    <row r="49" spans="1:8" x14ac:dyDescent="0.3">
      <c r="A49" s="10"/>
      <c r="B49" s="16"/>
      <c r="C49" s="10"/>
      <c r="D49" s="10"/>
      <c r="E49" s="10"/>
      <c r="F49" s="10"/>
      <c r="G49" s="10"/>
      <c r="H49" s="10"/>
    </row>
    <row r="50" spans="1:8" x14ac:dyDescent="0.3">
      <c r="A50" s="10"/>
      <c r="B50" s="16"/>
      <c r="C50" s="10"/>
      <c r="D50" s="10"/>
      <c r="E50" s="10"/>
      <c r="F50" s="10"/>
      <c r="G50" s="10"/>
      <c r="H50" s="10"/>
    </row>
    <row r="51" spans="1:8" x14ac:dyDescent="0.3">
      <c r="A51" s="10"/>
      <c r="B51" s="16"/>
      <c r="C51" s="10"/>
      <c r="D51" s="10"/>
      <c r="E51" s="10"/>
      <c r="F51" s="10"/>
      <c r="G51" s="10"/>
      <c r="H51" s="10"/>
    </row>
    <row r="52" spans="1:8" x14ac:dyDescent="0.3">
      <c r="A52" s="10"/>
      <c r="B52" s="16"/>
      <c r="C52" s="10"/>
      <c r="D52" s="10"/>
      <c r="E52" s="10"/>
      <c r="F52" s="10"/>
      <c r="G52" s="10"/>
      <c r="H52" s="10"/>
    </row>
    <row r="53" spans="1:8" x14ac:dyDescent="0.3">
      <c r="A53" s="10"/>
      <c r="B53" s="16"/>
      <c r="C53" s="10"/>
      <c r="D53" s="10"/>
      <c r="E53" s="10"/>
      <c r="F53" s="10"/>
      <c r="G53" s="10"/>
      <c r="H53" s="10"/>
    </row>
    <row r="54" spans="1:8" x14ac:dyDescent="0.3">
      <c r="A54" s="10"/>
      <c r="B54" s="16"/>
      <c r="C54" s="10"/>
      <c r="D54" s="10"/>
      <c r="E54" s="10"/>
      <c r="F54" s="10"/>
      <c r="G54" s="10"/>
      <c r="H54" s="10"/>
    </row>
    <row r="55" spans="1:8" x14ac:dyDescent="0.3">
      <c r="A55" s="10"/>
      <c r="B55" s="16"/>
      <c r="C55" s="10"/>
      <c r="D55" s="10"/>
      <c r="E55" s="10"/>
      <c r="F55" s="10"/>
      <c r="G55" s="10"/>
      <c r="H55" s="10"/>
    </row>
    <row r="56" spans="1:8" x14ac:dyDescent="0.3">
      <c r="A56" s="10"/>
      <c r="B56" s="16"/>
      <c r="C56" s="10"/>
      <c r="D56" s="10"/>
      <c r="E56" s="10"/>
      <c r="F56" s="10"/>
      <c r="G56" s="10"/>
      <c r="H56" s="10"/>
    </row>
    <row r="57" spans="1:8" x14ac:dyDescent="0.3">
      <c r="A57" s="10"/>
      <c r="B57" s="16"/>
      <c r="C57" s="10"/>
      <c r="D57" s="10"/>
      <c r="E57" s="10"/>
      <c r="F57" s="10"/>
      <c r="G57" s="10"/>
      <c r="H57" s="10"/>
    </row>
    <row r="58" spans="1:8" x14ac:dyDescent="0.3">
      <c r="A58" s="10"/>
      <c r="B58" s="16"/>
      <c r="C58" s="10"/>
      <c r="D58" s="10"/>
      <c r="E58" s="10"/>
      <c r="F58" s="10"/>
      <c r="G58" s="10"/>
      <c r="H58" s="10"/>
    </row>
    <row r="59" spans="1:8" x14ac:dyDescent="0.3">
      <c r="A59" s="10"/>
      <c r="B59" s="16"/>
      <c r="C59" s="10"/>
      <c r="D59" s="10"/>
      <c r="E59" s="10"/>
      <c r="F59" s="10"/>
      <c r="G59" s="10"/>
      <c r="H59" s="10"/>
    </row>
    <row r="60" spans="1:8" x14ac:dyDescent="0.3">
      <c r="A60" s="10"/>
      <c r="B60" s="16"/>
      <c r="C60" s="10"/>
      <c r="D60" s="10"/>
      <c r="E60" s="10"/>
      <c r="F60" s="10"/>
      <c r="G60" s="10"/>
      <c r="H60" s="10"/>
    </row>
    <row r="61" spans="1:8" x14ac:dyDescent="0.3">
      <c r="A61" s="10"/>
      <c r="B61" s="16"/>
      <c r="C61" s="10"/>
      <c r="D61" s="10"/>
      <c r="E61" s="10"/>
      <c r="F61" s="10"/>
      <c r="G61" s="10"/>
      <c r="H61" s="10"/>
    </row>
    <row r="62" spans="1:8" x14ac:dyDescent="0.3">
      <c r="A62" s="10"/>
      <c r="B62" s="16"/>
      <c r="C62" s="10"/>
      <c r="D62" s="10"/>
      <c r="E62" s="10"/>
      <c r="F62" s="10"/>
      <c r="G62" s="10"/>
      <c r="H62" s="10"/>
    </row>
    <row r="63" spans="1:8" x14ac:dyDescent="0.3">
      <c r="A63" s="10"/>
      <c r="B63" s="16"/>
      <c r="C63" s="10"/>
      <c r="D63" s="10"/>
      <c r="E63" s="10"/>
      <c r="F63" s="10"/>
      <c r="G63" s="10"/>
      <c r="H63" s="10"/>
    </row>
    <row r="64" spans="1:8" x14ac:dyDescent="0.3">
      <c r="A64" s="10"/>
      <c r="B64" s="16"/>
      <c r="C64" s="10"/>
      <c r="D64" s="10"/>
      <c r="E64" s="10"/>
      <c r="F64" s="10"/>
      <c r="G64" s="10"/>
      <c r="H64" s="10"/>
    </row>
    <row r="65" spans="1:8" x14ac:dyDescent="0.3">
      <c r="A65" s="10"/>
      <c r="B65" s="16"/>
      <c r="C65" s="10"/>
      <c r="D65" s="10"/>
      <c r="E65" s="10"/>
      <c r="F65" s="10"/>
      <c r="G65" s="10"/>
      <c r="H65" s="10"/>
    </row>
    <row r="66" spans="1:8" x14ac:dyDescent="0.3">
      <c r="A66" s="10"/>
      <c r="B66" s="16"/>
      <c r="C66" s="10"/>
      <c r="D66" s="10"/>
      <c r="E66" s="10"/>
      <c r="F66" s="10"/>
      <c r="G66" s="10"/>
      <c r="H66" s="10"/>
    </row>
    <row r="67" spans="1:8" x14ac:dyDescent="0.3">
      <c r="A67" s="10"/>
      <c r="B67" s="16"/>
      <c r="C67" s="10"/>
      <c r="D67" s="10"/>
      <c r="E67" s="10"/>
      <c r="F67" s="10"/>
      <c r="G67" s="10"/>
      <c r="H67" s="10"/>
    </row>
    <row r="68" spans="1:8" x14ac:dyDescent="0.3">
      <c r="A68" s="10"/>
      <c r="B68" s="16"/>
      <c r="C68" s="10"/>
      <c r="D68" s="10"/>
      <c r="E68" s="10"/>
      <c r="F68" s="10"/>
      <c r="G68" s="10"/>
      <c r="H68" s="10"/>
    </row>
    <row r="69" spans="1:8" x14ac:dyDescent="0.3">
      <c r="A69" s="10"/>
      <c r="B69" s="16"/>
      <c r="C69" s="10"/>
      <c r="D69" s="10"/>
      <c r="E69" s="10"/>
      <c r="F69" s="10"/>
      <c r="G69" s="10"/>
      <c r="H69" s="10"/>
    </row>
    <row r="70" spans="1:8" x14ac:dyDescent="0.3">
      <c r="A70" s="10"/>
      <c r="B70" s="16"/>
      <c r="C70" s="10"/>
      <c r="D70" s="10"/>
      <c r="E70" s="10"/>
      <c r="F70" s="10"/>
      <c r="G70" s="10"/>
      <c r="H70" s="10"/>
    </row>
    <row r="71" spans="1:8" x14ac:dyDescent="0.3">
      <c r="A71" s="10"/>
      <c r="B71" s="16"/>
      <c r="C71" s="10"/>
      <c r="D71" s="10"/>
      <c r="E71" s="10"/>
      <c r="F71" s="10"/>
      <c r="G71" s="10"/>
      <c r="H71" s="10"/>
    </row>
    <row r="72" spans="1:8" x14ac:dyDescent="0.3">
      <c r="A72" s="10"/>
      <c r="B72" s="16"/>
      <c r="C72" s="10"/>
      <c r="D72" s="10"/>
      <c r="E72" s="10"/>
      <c r="F72" s="10"/>
      <c r="G72" s="10"/>
      <c r="H72" s="10"/>
    </row>
    <row r="73" spans="1:8" x14ac:dyDescent="0.3">
      <c r="A73" s="10"/>
      <c r="B73" s="16"/>
      <c r="C73" s="10"/>
      <c r="D73" s="10"/>
      <c r="E73" s="10"/>
      <c r="F73" s="10"/>
      <c r="G73" s="10"/>
      <c r="H73" s="10"/>
    </row>
    <row r="74" spans="1:8" x14ac:dyDescent="0.3">
      <c r="A74" s="10"/>
      <c r="B74" s="16"/>
      <c r="C74" s="10"/>
      <c r="D74" s="10"/>
      <c r="E74" s="10"/>
      <c r="F74" s="10"/>
      <c r="G74" s="10"/>
      <c r="H74" s="10"/>
    </row>
    <row r="75" spans="1:8" x14ac:dyDescent="0.3">
      <c r="A75" s="10"/>
      <c r="B75" s="16"/>
      <c r="C75" s="10"/>
      <c r="D75" s="10"/>
      <c r="E75" s="10"/>
      <c r="F75" s="10"/>
      <c r="G75" s="10"/>
      <c r="H75" s="10"/>
    </row>
    <row r="76" spans="1:8" x14ac:dyDescent="0.3">
      <c r="A76" s="10"/>
      <c r="B76" s="16"/>
      <c r="C76" s="10"/>
      <c r="D76" s="10"/>
      <c r="E76" s="10"/>
      <c r="F76" s="10"/>
      <c r="G76" s="10"/>
      <c r="H76" s="10"/>
    </row>
    <row r="77" spans="1:8" x14ac:dyDescent="0.3">
      <c r="A77" s="10"/>
      <c r="B77" s="16"/>
      <c r="C77" s="10"/>
      <c r="D77" s="10"/>
      <c r="E77" s="10"/>
      <c r="F77" s="10"/>
      <c r="G77" s="10"/>
      <c r="H77" s="10"/>
    </row>
    <row r="78" spans="1:8" x14ac:dyDescent="0.3">
      <c r="A78" s="10"/>
      <c r="B78" s="16"/>
      <c r="C78" s="10"/>
      <c r="D78" s="10"/>
      <c r="E78" s="10"/>
      <c r="F78" s="10"/>
      <c r="G78" s="10"/>
      <c r="H78" s="10"/>
    </row>
    <row r="79" spans="1:8" x14ac:dyDescent="0.3">
      <c r="A79" s="10"/>
      <c r="B79" s="16"/>
      <c r="C79" s="10"/>
      <c r="D79" s="10"/>
      <c r="E79" s="10"/>
      <c r="F79" s="10"/>
      <c r="G79" s="10"/>
      <c r="H79" s="10"/>
    </row>
    <row r="80" spans="1:8" x14ac:dyDescent="0.3">
      <c r="A80" s="10"/>
      <c r="B80" s="16"/>
      <c r="C80" s="10"/>
      <c r="D80" s="10"/>
      <c r="E80" s="10"/>
      <c r="F80" s="10"/>
      <c r="G80" s="10"/>
      <c r="H80" s="10"/>
    </row>
    <row r="81" spans="1:8" x14ac:dyDescent="0.3">
      <c r="A81" s="10"/>
      <c r="B81" s="16"/>
      <c r="C81" s="10"/>
      <c r="D81" s="10"/>
      <c r="E81" s="10"/>
      <c r="F81" s="10"/>
      <c r="G81" s="10"/>
      <c r="H81" s="10"/>
    </row>
    <row r="82" spans="1:8" x14ac:dyDescent="0.3">
      <c r="A82" s="10"/>
      <c r="B82" s="16"/>
      <c r="C82" s="10"/>
      <c r="D82" s="10"/>
      <c r="E82" s="10"/>
      <c r="F82" s="10"/>
      <c r="G82" s="10"/>
      <c r="H82" s="10"/>
    </row>
    <row r="83" spans="1:8" x14ac:dyDescent="0.3">
      <c r="A83" s="10"/>
      <c r="B83" s="16"/>
      <c r="C83" s="10"/>
      <c r="D83" s="10"/>
      <c r="E83" s="10"/>
      <c r="F83" s="10"/>
      <c r="G83" s="10"/>
      <c r="H83" s="10"/>
    </row>
    <row r="84" spans="1:8" x14ac:dyDescent="0.3">
      <c r="A84" s="10"/>
      <c r="B84" s="16"/>
      <c r="C84" s="10"/>
      <c r="D84" s="10"/>
      <c r="E84" s="10"/>
      <c r="F84" s="10"/>
      <c r="G84" s="10"/>
      <c r="H84" s="10"/>
    </row>
    <row r="85" spans="1:8" x14ac:dyDescent="0.3">
      <c r="A85" s="10"/>
      <c r="B85" s="16"/>
      <c r="C85" s="10"/>
      <c r="D85" s="10"/>
      <c r="E85" s="10"/>
      <c r="F85" s="10"/>
      <c r="G85" s="10"/>
      <c r="H85" s="10"/>
    </row>
    <row r="86" spans="1:8" x14ac:dyDescent="0.3">
      <c r="A86" s="10"/>
      <c r="B86" s="16"/>
      <c r="C86" s="10"/>
      <c r="D86" s="10"/>
      <c r="E86" s="10"/>
      <c r="F86" s="10"/>
      <c r="G86" s="10"/>
      <c r="H86" s="10"/>
    </row>
    <row r="87" spans="1:8" x14ac:dyDescent="0.3">
      <c r="A87" s="10"/>
      <c r="B87" s="16"/>
      <c r="C87" s="10"/>
      <c r="D87" s="10"/>
      <c r="E87" s="10"/>
      <c r="F87" s="10"/>
      <c r="G87" s="10"/>
      <c r="H87" s="10"/>
    </row>
    <row r="88" spans="1:8" x14ac:dyDescent="0.3">
      <c r="A88" s="10"/>
      <c r="B88" s="16"/>
      <c r="C88" s="10"/>
      <c r="D88" s="10"/>
      <c r="E88" s="10"/>
      <c r="F88" s="10"/>
      <c r="G88" s="10"/>
      <c r="H88" s="10"/>
    </row>
    <row r="89" spans="1:8" x14ac:dyDescent="0.3">
      <c r="A89" s="10"/>
      <c r="B89" s="16"/>
      <c r="C89" s="10"/>
      <c r="D89" s="10"/>
      <c r="E89" s="10"/>
      <c r="F89" s="10"/>
      <c r="G89" s="10"/>
      <c r="H89" s="10"/>
    </row>
    <row r="90" spans="1:8" x14ac:dyDescent="0.3">
      <c r="A90" s="10"/>
      <c r="B90" s="16"/>
      <c r="C90" s="10"/>
      <c r="D90" s="10"/>
      <c r="E90" s="10"/>
      <c r="F90" s="10"/>
      <c r="G90" s="10"/>
      <c r="H90" s="10"/>
    </row>
    <row r="91" spans="1:8" x14ac:dyDescent="0.3">
      <c r="A91" s="10"/>
      <c r="B91" s="16"/>
      <c r="C91" s="10"/>
      <c r="D91" s="10"/>
      <c r="E91" s="10"/>
      <c r="F91" s="10"/>
      <c r="G91" s="10"/>
      <c r="H91" s="10"/>
    </row>
    <row r="92" spans="1:8" x14ac:dyDescent="0.3">
      <c r="A92" s="10"/>
      <c r="B92" s="16"/>
      <c r="C92" s="10"/>
      <c r="D92" s="10"/>
      <c r="E92" s="10"/>
      <c r="F92" s="10"/>
      <c r="G92" s="10"/>
      <c r="H92" s="10"/>
    </row>
    <row r="93" spans="1:8" x14ac:dyDescent="0.3">
      <c r="A93" s="10"/>
      <c r="B93" s="16"/>
      <c r="C93" s="10"/>
      <c r="D93" s="10"/>
      <c r="E93" s="10"/>
      <c r="F93" s="10"/>
      <c r="G93" s="10"/>
      <c r="H93" s="10"/>
    </row>
    <row r="94" spans="1:8" x14ac:dyDescent="0.3">
      <c r="A94" s="10"/>
      <c r="B94" s="16"/>
      <c r="C94" s="10"/>
      <c r="D94" s="10"/>
      <c r="E94" s="10"/>
      <c r="F94" s="10"/>
      <c r="G94" s="10"/>
      <c r="H94" s="10"/>
    </row>
    <row r="95" spans="1:8" x14ac:dyDescent="0.3">
      <c r="A95" s="10"/>
      <c r="B95" s="16"/>
      <c r="C95" s="10"/>
      <c r="D95" s="10"/>
      <c r="E95" s="10"/>
      <c r="F95" s="10"/>
      <c r="G95" s="10"/>
      <c r="H95" s="10"/>
    </row>
    <row r="96" spans="1:8" x14ac:dyDescent="0.3">
      <c r="A96" s="10"/>
      <c r="B96" s="16"/>
      <c r="C96" s="10"/>
      <c r="D96" s="10"/>
      <c r="E96" s="10"/>
      <c r="F96" s="10"/>
      <c r="G96" s="10"/>
      <c r="H96" s="10"/>
    </row>
    <row r="97" spans="1:8" x14ac:dyDescent="0.3">
      <c r="A97" s="10"/>
      <c r="B97" s="16"/>
      <c r="C97" s="10"/>
      <c r="D97" s="10"/>
      <c r="E97" s="10"/>
      <c r="F97" s="10"/>
      <c r="G97" s="10"/>
      <c r="H97" s="10"/>
    </row>
    <row r="98" spans="1:8" x14ac:dyDescent="0.3">
      <c r="A98" s="10"/>
      <c r="B98" s="16"/>
      <c r="C98" s="10"/>
      <c r="D98" s="10"/>
      <c r="E98" s="10"/>
      <c r="F98" s="10"/>
      <c r="G98" s="10"/>
      <c r="H98" s="10"/>
    </row>
    <row r="99" spans="1:8" x14ac:dyDescent="0.3">
      <c r="A99" s="10"/>
      <c r="B99" s="16"/>
      <c r="C99" s="10"/>
      <c r="D99" s="10"/>
      <c r="E99" s="10"/>
      <c r="F99" s="10"/>
      <c r="G99" s="10"/>
      <c r="H99" s="10"/>
    </row>
    <row r="100" spans="1:8" x14ac:dyDescent="0.3">
      <c r="A100" s="10"/>
      <c r="B100" s="16"/>
      <c r="C100" s="10"/>
      <c r="D100" s="10"/>
      <c r="E100" s="10"/>
      <c r="F100" s="10"/>
      <c r="G100" s="10"/>
      <c r="H100" s="10"/>
    </row>
    <row r="101" spans="1:8" x14ac:dyDescent="0.3">
      <c r="A101" s="10"/>
      <c r="B101" s="16"/>
      <c r="C101" s="10"/>
      <c r="D101" s="10"/>
      <c r="E101" s="10"/>
      <c r="F101" s="10"/>
      <c r="G101" s="10"/>
      <c r="H101" s="10"/>
    </row>
    <row r="102" spans="1:8" x14ac:dyDescent="0.3">
      <c r="A102" s="10"/>
      <c r="B102" s="16"/>
      <c r="C102" s="10"/>
      <c r="D102" s="10"/>
      <c r="E102" s="10"/>
      <c r="F102" s="10"/>
      <c r="G102" s="10"/>
      <c r="H102" s="10"/>
    </row>
    <row r="103" spans="1:8" x14ac:dyDescent="0.3">
      <c r="A103" s="10"/>
      <c r="B103" s="16"/>
      <c r="C103" s="10"/>
      <c r="D103" s="10"/>
      <c r="E103" s="10"/>
      <c r="F103" s="10"/>
      <c r="G103" s="10"/>
      <c r="H103" s="10"/>
    </row>
    <row r="104" spans="1:8" x14ac:dyDescent="0.3">
      <c r="A104" s="10"/>
      <c r="B104" s="16"/>
      <c r="C104" s="10"/>
      <c r="D104" s="10"/>
      <c r="E104" s="10"/>
      <c r="F104" s="10"/>
      <c r="G104" s="10"/>
      <c r="H104" s="10"/>
    </row>
    <row r="105" spans="1:8" x14ac:dyDescent="0.3">
      <c r="A105" s="10"/>
      <c r="B105" s="16"/>
      <c r="C105" s="10"/>
      <c r="D105" s="10"/>
      <c r="E105" s="10"/>
      <c r="F105" s="10"/>
      <c r="G105" s="10"/>
      <c r="H105" s="10"/>
    </row>
    <row r="106" spans="1:8" x14ac:dyDescent="0.3">
      <c r="A106" s="10"/>
      <c r="B106" s="16"/>
      <c r="C106" s="10"/>
      <c r="D106" s="10"/>
      <c r="E106" s="10"/>
      <c r="F106" s="10"/>
      <c r="G106" s="10"/>
      <c r="H106" s="10"/>
    </row>
    <row r="107" spans="1:8" x14ac:dyDescent="0.3">
      <c r="A107" s="10"/>
      <c r="B107" s="16"/>
      <c r="C107" s="10"/>
      <c r="D107" s="10"/>
      <c r="E107" s="10"/>
      <c r="F107" s="10"/>
      <c r="G107" s="10"/>
      <c r="H107" s="10"/>
    </row>
    <row r="108" spans="1:8" x14ac:dyDescent="0.3">
      <c r="A108" s="10"/>
      <c r="B108" s="16"/>
      <c r="C108" s="10"/>
      <c r="D108" s="10"/>
      <c r="E108" s="10"/>
      <c r="F108" s="10"/>
      <c r="G108" s="10"/>
      <c r="H108" s="10"/>
    </row>
    <row r="109" spans="1:8" x14ac:dyDescent="0.3">
      <c r="A109" s="10"/>
      <c r="B109" s="16"/>
      <c r="C109" s="10"/>
      <c r="D109" s="10"/>
      <c r="E109" s="10"/>
      <c r="F109" s="10"/>
      <c r="G109" s="10"/>
      <c r="H109" s="10"/>
    </row>
    <row r="110" spans="1:8" x14ac:dyDescent="0.3">
      <c r="A110" s="10"/>
      <c r="B110" s="16"/>
      <c r="C110" s="10"/>
      <c r="D110" s="10"/>
      <c r="E110" s="10"/>
      <c r="F110" s="10"/>
      <c r="G110" s="10"/>
      <c r="H110" s="10"/>
    </row>
    <row r="111" spans="1:8" x14ac:dyDescent="0.3">
      <c r="A111" s="10"/>
      <c r="B111" s="16"/>
      <c r="C111" s="10"/>
      <c r="D111" s="10"/>
      <c r="E111" s="10"/>
      <c r="F111" s="10"/>
      <c r="G111" s="10"/>
      <c r="H111" s="10"/>
    </row>
    <row r="112" spans="1:8" x14ac:dyDescent="0.3">
      <c r="A112" s="10"/>
      <c r="B112" s="16"/>
      <c r="C112" s="10"/>
      <c r="D112" s="10"/>
      <c r="E112" s="10"/>
      <c r="F112" s="10"/>
      <c r="G112" s="10"/>
      <c r="H112" s="10"/>
    </row>
    <row r="113" spans="1:8" x14ac:dyDescent="0.3">
      <c r="A113" s="10"/>
      <c r="B113" s="16"/>
      <c r="C113" s="10"/>
      <c r="D113" s="10"/>
      <c r="E113" s="10"/>
      <c r="F113" s="10"/>
      <c r="G113" s="10"/>
      <c r="H113" s="10"/>
    </row>
    <row r="114" spans="1:8" x14ac:dyDescent="0.3">
      <c r="A114" s="10"/>
      <c r="B114" s="16"/>
      <c r="C114" s="10"/>
      <c r="D114" s="10"/>
      <c r="E114" s="10"/>
      <c r="F114" s="10"/>
      <c r="G114" s="10"/>
      <c r="H114" s="10"/>
    </row>
    <row r="115" spans="1:8" x14ac:dyDescent="0.3">
      <c r="A115" s="10"/>
      <c r="B115" s="16"/>
      <c r="C115" s="10"/>
      <c r="D115" s="10"/>
      <c r="E115" s="10"/>
      <c r="F115" s="10"/>
      <c r="G115" s="10"/>
      <c r="H115" s="10"/>
    </row>
    <row r="116" spans="1:8" x14ac:dyDescent="0.3">
      <c r="A116" s="10"/>
      <c r="B116" s="16"/>
      <c r="C116" s="10"/>
      <c r="D116" s="10"/>
      <c r="E116" s="10"/>
      <c r="F116" s="10"/>
      <c r="G116" s="10"/>
      <c r="H116" s="10"/>
    </row>
    <row r="117" spans="1:8" x14ac:dyDescent="0.3">
      <c r="A117" s="10"/>
      <c r="B117" s="16"/>
      <c r="C117" s="10"/>
      <c r="D117" s="10"/>
      <c r="E117" s="10"/>
      <c r="F117" s="10"/>
      <c r="G117" s="10"/>
      <c r="H117" s="10"/>
    </row>
    <row r="118" spans="1:8" x14ac:dyDescent="0.3">
      <c r="A118" s="10"/>
      <c r="B118" s="16"/>
      <c r="C118" s="10"/>
      <c r="D118" s="10"/>
      <c r="E118" s="10"/>
      <c r="F118" s="10"/>
      <c r="G118" s="10"/>
      <c r="H118" s="10"/>
    </row>
    <row r="119" spans="1:8" x14ac:dyDescent="0.3">
      <c r="A119" s="10"/>
      <c r="B119" s="16"/>
      <c r="C119" s="10"/>
      <c r="D119" s="10"/>
      <c r="E119" s="10"/>
      <c r="F119" s="10"/>
      <c r="G119" s="10"/>
      <c r="H119" s="10"/>
    </row>
    <row r="120" spans="1:8" x14ac:dyDescent="0.3">
      <c r="A120" s="10"/>
      <c r="B120" s="16"/>
      <c r="C120" s="10"/>
      <c r="D120" s="10"/>
      <c r="E120" s="10"/>
      <c r="F120" s="10"/>
      <c r="G120" s="10"/>
      <c r="H120" s="10"/>
    </row>
    <row r="121" spans="1:8" x14ac:dyDescent="0.3">
      <c r="A121" s="10"/>
      <c r="B121" s="16"/>
      <c r="C121" s="10"/>
      <c r="D121" s="10"/>
      <c r="E121" s="10"/>
      <c r="F121" s="10"/>
      <c r="G121" s="10"/>
      <c r="H121" s="10"/>
    </row>
    <row r="122" spans="1:8" x14ac:dyDescent="0.3">
      <c r="A122" s="10"/>
      <c r="B122" s="16"/>
      <c r="C122" s="10"/>
      <c r="D122" s="10"/>
      <c r="E122" s="10"/>
      <c r="F122" s="10"/>
      <c r="G122" s="10"/>
      <c r="H122" s="10"/>
    </row>
    <row r="123" spans="1:8" x14ac:dyDescent="0.3">
      <c r="A123" s="10"/>
      <c r="B123" s="16"/>
      <c r="C123" s="10"/>
      <c r="D123" s="10"/>
      <c r="E123" s="10"/>
      <c r="F123" s="10"/>
      <c r="G123" s="10"/>
      <c r="H123" s="10"/>
    </row>
    <row r="124" spans="1:8" x14ac:dyDescent="0.3">
      <c r="A124" s="10"/>
      <c r="B124" s="16"/>
      <c r="C124" s="10"/>
      <c r="D124" s="10"/>
      <c r="E124" s="10"/>
      <c r="F124" s="10"/>
      <c r="G124" s="10"/>
      <c r="H124" s="10"/>
    </row>
    <row r="125" spans="1:8" x14ac:dyDescent="0.3">
      <c r="A125" s="10"/>
      <c r="B125" s="16"/>
      <c r="C125" s="10"/>
      <c r="D125" s="10"/>
      <c r="E125" s="10"/>
      <c r="F125" s="10"/>
      <c r="G125" s="10"/>
      <c r="H125" s="10"/>
    </row>
    <row r="126" spans="1:8" x14ac:dyDescent="0.3">
      <c r="A126" s="10"/>
      <c r="B126" s="16"/>
      <c r="C126" s="10"/>
      <c r="D126" s="10"/>
      <c r="E126" s="10"/>
      <c r="F126" s="10"/>
      <c r="G126" s="10"/>
      <c r="H126" s="10"/>
    </row>
    <row r="127" spans="1:8" x14ac:dyDescent="0.3">
      <c r="A127" s="10"/>
      <c r="B127" s="16"/>
      <c r="C127" s="10"/>
      <c r="D127" s="10"/>
      <c r="E127" s="10"/>
      <c r="F127" s="10"/>
      <c r="G127" s="10"/>
      <c r="H127" s="10"/>
    </row>
    <row r="128" spans="1:8" x14ac:dyDescent="0.3">
      <c r="A128" s="10"/>
      <c r="B128" s="16"/>
      <c r="C128" s="10"/>
      <c r="D128" s="10"/>
      <c r="E128" s="10"/>
      <c r="F128" s="10"/>
      <c r="G128" s="10"/>
      <c r="H128" s="10"/>
    </row>
    <row r="129" spans="1:8" x14ac:dyDescent="0.3">
      <c r="A129" s="10"/>
      <c r="B129" s="16"/>
      <c r="C129" s="10"/>
      <c r="D129" s="10"/>
      <c r="E129" s="10"/>
      <c r="F129" s="10"/>
      <c r="G129" s="10"/>
      <c r="H129" s="10"/>
    </row>
    <row r="130" spans="1:8" x14ac:dyDescent="0.3">
      <c r="A130" s="10"/>
      <c r="B130" s="16"/>
      <c r="C130" s="10"/>
      <c r="D130" s="10"/>
      <c r="E130" s="10"/>
      <c r="F130" s="10"/>
      <c r="G130" s="10"/>
      <c r="H130" s="10"/>
    </row>
    <row r="131" spans="1:8" x14ac:dyDescent="0.3">
      <c r="A131" s="10"/>
      <c r="B131" s="16"/>
      <c r="C131" s="10"/>
      <c r="D131" s="10"/>
      <c r="E131" s="10"/>
      <c r="F131" s="10"/>
      <c r="G131" s="10"/>
      <c r="H131" s="10"/>
    </row>
    <row r="132" spans="1:8" x14ac:dyDescent="0.3">
      <c r="A132" s="10"/>
      <c r="B132" s="16"/>
      <c r="C132" s="10"/>
      <c r="D132" s="10"/>
      <c r="E132" s="10"/>
      <c r="F132" s="10"/>
      <c r="G132" s="10"/>
      <c r="H132" s="10"/>
    </row>
    <row r="133" spans="1:8" x14ac:dyDescent="0.3">
      <c r="A133" s="10"/>
      <c r="B133" s="16"/>
      <c r="C133" s="10"/>
      <c r="D133" s="10"/>
      <c r="E133" s="10"/>
      <c r="F133" s="10"/>
      <c r="G133" s="10"/>
      <c r="H133" s="10"/>
    </row>
    <row r="134" spans="1:8" x14ac:dyDescent="0.3">
      <c r="A134" s="10"/>
      <c r="B134" s="16"/>
      <c r="C134" s="10"/>
      <c r="D134" s="10"/>
      <c r="E134" s="10"/>
      <c r="F134" s="10"/>
      <c r="G134" s="10"/>
      <c r="H134" s="10"/>
    </row>
    <row r="135" spans="1:8" x14ac:dyDescent="0.3">
      <c r="A135" s="10"/>
      <c r="B135" s="16"/>
      <c r="C135" s="10"/>
      <c r="D135" s="10"/>
      <c r="E135" s="10"/>
      <c r="F135" s="10"/>
      <c r="G135" s="10"/>
      <c r="H135" s="10"/>
    </row>
    <row r="136" spans="1:8" x14ac:dyDescent="0.3">
      <c r="A136" s="10"/>
      <c r="B136" s="16"/>
      <c r="C136" s="10"/>
      <c r="D136" s="10"/>
      <c r="E136" s="10"/>
      <c r="F136" s="10"/>
      <c r="G136" s="10"/>
      <c r="H136" s="10"/>
    </row>
    <row r="137" spans="1:8" x14ac:dyDescent="0.3">
      <c r="A137" s="10"/>
      <c r="B137" s="16"/>
      <c r="C137" s="10"/>
      <c r="D137" s="10"/>
      <c r="E137" s="10"/>
      <c r="F137" s="10"/>
      <c r="G137" s="10"/>
      <c r="H137" s="10"/>
    </row>
    <row r="138" spans="1:8" x14ac:dyDescent="0.3">
      <c r="A138" s="10"/>
      <c r="B138" s="16"/>
      <c r="C138" s="10"/>
      <c r="D138" s="10"/>
      <c r="E138" s="10"/>
      <c r="F138" s="10"/>
      <c r="G138" s="10"/>
      <c r="H138" s="10"/>
    </row>
    <row r="139" spans="1:8" x14ac:dyDescent="0.3">
      <c r="A139" s="10"/>
      <c r="B139" s="16"/>
      <c r="C139" s="10"/>
      <c r="D139" s="10"/>
      <c r="E139" s="10"/>
      <c r="F139" s="10"/>
      <c r="G139" s="10"/>
      <c r="H139" s="10"/>
    </row>
    <row r="140" spans="1:8" x14ac:dyDescent="0.3">
      <c r="A140" s="10"/>
      <c r="B140" s="16"/>
      <c r="C140" s="10"/>
      <c r="D140" s="10"/>
      <c r="E140" s="10"/>
      <c r="F140" s="10"/>
      <c r="G140" s="10"/>
      <c r="H140" s="10"/>
    </row>
    <row r="141" spans="1:8" x14ac:dyDescent="0.3">
      <c r="A141" s="10"/>
      <c r="B141" s="16"/>
      <c r="C141" s="10"/>
      <c r="D141" s="10"/>
      <c r="E141" s="10"/>
      <c r="F141" s="10"/>
      <c r="G141" s="10"/>
      <c r="H141" s="10"/>
    </row>
    <row r="142" spans="1:8" x14ac:dyDescent="0.3">
      <c r="A142" s="10"/>
      <c r="B142" s="16"/>
      <c r="C142" s="10"/>
      <c r="D142" s="10"/>
      <c r="E142" s="10"/>
      <c r="F142" s="10"/>
      <c r="G142" s="10"/>
      <c r="H142" s="10"/>
    </row>
    <row r="143" spans="1:8" x14ac:dyDescent="0.3">
      <c r="A143" s="10"/>
      <c r="B143" s="16"/>
      <c r="C143" s="10"/>
      <c r="D143" s="10"/>
      <c r="E143" s="10"/>
      <c r="F143" s="10"/>
      <c r="G143" s="10"/>
      <c r="H143" s="10"/>
    </row>
    <row r="144" spans="1:8" x14ac:dyDescent="0.3">
      <c r="A144" s="10"/>
      <c r="B144" s="16"/>
      <c r="C144" s="10"/>
      <c r="D144" s="10"/>
      <c r="E144" s="10"/>
      <c r="F144" s="10"/>
      <c r="G144" s="10"/>
      <c r="H144" s="10"/>
    </row>
    <row r="145" spans="1:8" x14ac:dyDescent="0.3">
      <c r="A145" s="10"/>
      <c r="B145" s="16"/>
      <c r="C145" s="10"/>
      <c r="D145" s="10"/>
      <c r="E145" s="10"/>
      <c r="F145" s="10"/>
      <c r="G145" s="10"/>
      <c r="H145" s="10"/>
    </row>
    <row r="146" spans="1:8" x14ac:dyDescent="0.3">
      <c r="A146" s="10"/>
      <c r="B146" s="16"/>
      <c r="C146" s="10"/>
      <c r="D146" s="10"/>
      <c r="E146" s="10"/>
      <c r="F146" s="10"/>
      <c r="G146" s="10"/>
      <c r="H146" s="10"/>
    </row>
    <row r="147" spans="1:8" x14ac:dyDescent="0.3">
      <c r="A147" s="10"/>
      <c r="B147" s="16"/>
      <c r="C147" s="10"/>
      <c r="D147" s="10"/>
      <c r="E147" s="10"/>
      <c r="F147" s="10"/>
      <c r="G147" s="10"/>
      <c r="H147" s="10"/>
    </row>
    <row r="148" spans="1:8" x14ac:dyDescent="0.3">
      <c r="A148" s="10"/>
      <c r="B148" s="16"/>
      <c r="C148" s="10"/>
      <c r="D148" s="10"/>
      <c r="E148" s="10"/>
      <c r="F148" s="10"/>
      <c r="G148" s="10"/>
      <c r="H148" s="10"/>
    </row>
    <row r="149" spans="1:8" x14ac:dyDescent="0.3">
      <c r="A149" s="10"/>
      <c r="B149" s="16"/>
      <c r="C149" s="10"/>
      <c r="D149" s="10"/>
      <c r="E149" s="10"/>
      <c r="F149" s="10"/>
      <c r="G149" s="10"/>
      <c r="H149" s="10"/>
    </row>
    <row r="150" spans="1:8" x14ac:dyDescent="0.3">
      <c r="A150" s="10"/>
      <c r="B150" s="16"/>
      <c r="C150" s="10"/>
      <c r="D150" s="10"/>
      <c r="E150" s="10"/>
      <c r="F150" s="10"/>
      <c r="G150" s="10"/>
      <c r="H150" s="10"/>
    </row>
    <row r="151" spans="1:8" x14ac:dyDescent="0.3">
      <c r="A151" s="10"/>
      <c r="B151" s="16"/>
      <c r="C151" s="10"/>
      <c r="D151" s="10"/>
      <c r="E151" s="10"/>
      <c r="F151" s="10"/>
      <c r="G151" s="10"/>
      <c r="H151" s="10"/>
    </row>
    <row r="152" spans="1:8" x14ac:dyDescent="0.3">
      <c r="A152" s="10"/>
      <c r="B152" s="16"/>
      <c r="C152" s="10"/>
      <c r="D152" s="10"/>
      <c r="E152" s="10"/>
      <c r="F152" s="10"/>
      <c r="G152" s="10"/>
      <c r="H152" s="10"/>
    </row>
    <row r="153" spans="1:8" x14ac:dyDescent="0.3">
      <c r="A153" s="10"/>
      <c r="B153" s="16"/>
      <c r="C153" s="10"/>
      <c r="D153" s="10"/>
      <c r="E153" s="10"/>
      <c r="F153" s="10"/>
      <c r="G153" s="10"/>
      <c r="H153" s="10"/>
    </row>
    <row r="154" spans="1:8" x14ac:dyDescent="0.3">
      <c r="A154" s="10"/>
      <c r="B154" s="16"/>
      <c r="C154" s="10"/>
      <c r="D154" s="10"/>
      <c r="E154" s="10"/>
      <c r="F154" s="10"/>
      <c r="G154" s="10"/>
      <c r="H154" s="10"/>
    </row>
    <row r="155" spans="1:8" x14ac:dyDescent="0.3">
      <c r="A155" s="10"/>
      <c r="B155" s="16"/>
      <c r="C155" s="10"/>
      <c r="D155" s="10"/>
      <c r="E155" s="10"/>
      <c r="F155" s="10"/>
      <c r="G155" s="10"/>
      <c r="H155" s="10"/>
    </row>
    <row r="156" spans="1:8" x14ac:dyDescent="0.3">
      <c r="A156" s="10"/>
      <c r="B156" s="16"/>
      <c r="C156" s="10"/>
      <c r="D156" s="10"/>
      <c r="E156" s="10"/>
      <c r="F156" s="10"/>
      <c r="G156" s="10"/>
      <c r="H156" s="10"/>
    </row>
    <row r="157" spans="1:8" x14ac:dyDescent="0.3">
      <c r="A157" s="10"/>
      <c r="B157" s="16"/>
      <c r="C157" s="10"/>
      <c r="D157" s="10"/>
      <c r="E157" s="10"/>
      <c r="F157" s="10"/>
      <c r="G157" s="10"/>
      <c r="H157" s="10"/>
    </row>
    <row r="158" spans="1:8" x14ac:dyDescent="0.3">
      <c r="A158" s="10"/>
      <c r="B158" s="16"/>
      <c r="C158" s="10"/>
      <c r="D158" s="10"/>
      <c r="E158" s="10"/>
      <c r="F158" s="10"/>
      <c r="G158" s="10"/>
      <c r="H158" s="10"/>
    </row>
    <row r="159" spans="1:8" x14ac:dyDescent="0.3">
      <c r="A159" s="10"/>
      <c r="B159" s="16"/>
      <c r="C159" s="10"/>
      <c r="D159" s="10"/>
      <c r="E159" s="10"/>
      <c r="F159" s="10"/>
      <c r="G159" s="10"/>
      <c r="H159" s="10"/>
    </row>
    <row r="160" spans="1:8" x14ac:dyDescent="0.3">
      <c r="A160" s="10"/>
      <c r="B160" s="16"/>
      <c r="C160" s="10"/>
      <c r="D160" s="10"/>
      <c r="E160" s="10"/>
      <c r="F160" s="10"/>
      <c r="G160" s="10"/>
      <c r="H160" s="10"/>
    </row>
    <row r="161" spans="1:8" x14ac:dyDescent="0.3">
      <c r="A161" s="10"/>
      <c r="B161" s="16"/>
      <c r="C161" s="10"/>
      <c r="D161" s="10"/>
      <c r="E161" s="10"/>
      <c r="F161" s="10"/>
      <c r="G161" s="10"/>
      <c r="H161" s="10"/>
    </row>
    <row r="162" spans="1:8" x14ac:dyDescent="0.3">
      <c r="A162" s="10"/>
      <c r="B162" s="16"/>
      <c r="C162" s="10"/>
      <c r="D162" s="10"/>
      <c r="E162" s="10"/>
      <c r="F162" s="10"/>
      <c r="G162" s="10"/>
      <c r="H162" s="10"/>
    </row>
    <row r="163" spans="1:8" x14ac:dyDescent="0.3">
      <c r="A163" s="10"/>
      <c r="B163" s="16"/>
      <c r="C163" s="10"/>
      <c r="D163" s="10"/>
      <c r="E163" s="10"/>
      <c r="F163" s="10"/>
      <c r="G163" s="10"/>
      <c r="H163" s="10"/>
    </row>
    <row r="164" spans="1:8" x14ac:dyDescent="0.3">
      <c r="A164" s="10"/>
      <c r="B164" s="16"/>
      <c r="C164" s="10"/>
      <c r="D164" s="10"/>
      <c r="E164" s="10"/>
      <c r="F164" s="10"/>
      <c r="G164" s="10"/>
      <c r="H164" s="10"/>
    </row>
    <row r="165" spans="1:8" x14ac:dyDescent="0.3">
      <c r="A165" s="10"/>
      <c r="B165" s="16"/>
      <c r="C165" s="10"/>
      <c r="D165" s="10"/>
      <c r="E165" s="10"/>
      <c r="F165" s="10"/>
      <c r="G165" s="10"/>
      <c r="H165" s="10"/>
    </row>
    <row r="166" spans="1:8" x14ac:dyDescent="0.3">
      <c r="A166" s="10"/>
      <c r="B166" s="16"/>
      <c r="C166" s="10"/>
      <c r="D166" s="10"/>
      <c r="E166" s="10"/>
      <c r="F166" s="10"/>
      <c r="G166" s="10"/>
      <c r="H166" s="10"/>
    </row>
    <row r="167" spans="1:8" x14ac:dyDescent="0.3">
      <c r="A167" s="10"/>
      <c r="B167" s="16"/>
      <c r="C167" s="10"/>
      <c r="D167" s="10"/>
      <c r="E167" s="10"/>
      <c r="F167" s="10"/>
      <c r="G167" s="10"/>
      <c r="H167" s="10"/>
    </row>
    <row r="168" spans="1:8" x14ac:dyDescent="0.3">
      <c r="A168" s="10"/>
      <c r="B168" s="16"/>
      <c r="C168" s="10"/>
      <c r="D168" s="10"/>
      <c r="E168" s="10"/>
      <c r="F168" s="10"/>
      <c r="G168" s="10"/>
      <c r="H168" s="10"/>
    </row>
    <row r="169" spans="1:8" x14ac:dyDescent="0.3">
      <c r="A169" s="10"/>
      <c r="B169" s="16"/>
      <c r="C169" s="10"/>
      <c r="D169" s="10"/>
      <c r="E169" s="10"/>
      <c r="F169" s="10"/>
      <c r="G169" s="10"/>
      <c r="H169" s="10"/>
    </row>
    <row r="170" spans="1:8" x14ac:dyDescent="0.3">
      <c r="A170" s="10"/>
      <c r="B170" s="16"/>
      <c r="C170" s="10"/>
      <c r="D170" s="10"/>
      <c r="E170" s="10"/>
      <c r="F170" s="10"/>
      <c r="G170" s="10"/>
      <c r="H170" s="10"/>
    </row>
    <row r="171" spans="1:8" x14ac:dyDescent="0.3">
      <c r="A171" s="10"/>
      <c r="B171" s="16"/>
      <c r="C171" s="10"/>
      <c r="D171" s="10"/>
      <c r="E171" s="10"/>
      <c r="F171" s="10"/>
      <c r="G171" s="10"/>
      <c r="H171" s="10"/>
    </row>
    <row r="172" spans="1:8" x14ac:dyDescent="0.3">
      <c r="A172" s="10"/>
      <c r="B172" s="16"/>
      <c r="C172" s="10"/>
      <c r="D172" s="10"/>
      <c r="E172" s="10"/>
      <c r="F172" s="10"/>
      <c r="G172" s="10"/>
      <c r="H172" s="10"/>
    </row>
    <row r="173" spans="1:8" x14ac:dyDescent="0.3">
      <c r="A173" s="10"/>
      <c r="B173" s="16"/>
      <c r="C173" s="10"/>
      <c r="D173" s="10"/>
      <c r="E173" s="10"/>
      <c r="F173" s="10"/>
      <c r="G173" s="10"/>
      <c r="H173" s="10"/>
    </row>
    <row r="174" spans="1:8" x14ac:dyDescent="0.3">
      <c r="A174" s="10"/>
      <c r="B174" s="16"/>
      <c r="C174" s="10"/>
      <c r="D174" s="10"/>
      <c r="E174" s="10"/>
      <c r="F174" s="10"/>
      <c r="G174" s="10"/>
      <c r="H174" s="10"/>
    </row>
    <row r="175" spans="1:8" x14ac:dyDescent="0.3">
      <c r="A175" s="10"/>
      <c r="B175" s="16"/>
      <c r="C175" s="10"/>
      <c r="D175" s="10"/>
      <c r="E175" s="10"/>
      <c r="F175" s="10"/>
      <c r="G175" s="10"/>
      <c r="H175" s="10"/>
    </row>
    <row r="176" spans="1:8" x14ac:dyDescent="0.3">
      <c r="A176" s="10"/>
      <c r="B176" s="16"/>
      <c r="C176" s="10"/>
      <c r="D176" s="10"/>
      <c r="E176" s="10"/>
      <c r="F176" s="10"/>
      <c r="G176" s="10"/>
      <c r="H176" s="10"/>
    </row>
    <row r="177" spans="1:8" x14ac:dyDescent="0.3">
      <c r="A177" s="10"/>
      <c r="B177" s="16"/>
      <c r="C177" s="10"/>
      <c r="D177" s="10"/>
      <c r="E177" s="10"/>
      <c r="F177" s="10"/>
      <c r="G177" s="10"/>
      <c r="H177" s="10"/>
    </row>
    <row r="178" spans="1:8" x14ac:dyDescent="0.3">
      <c r="A178" s="10"/>
      <c r="B178" s="16"/>
      <c r="C178" s="10"/>
      <c r="D178" s="10"/>
      <c r="E178" s="10"/>
      <c r="F178" s="10"/>
      <c r="G178" s="10"/>
      <c r="H178" s="10"/>
    </row>
    <row r="179" spans="1:8" x14ac:dyDescent="0.3">
      <c r="A179" s="10"/>
      <c r="B179" s="16"/>
      <c r="C179" s="10"/>
      <c r="D179" s="10"/>
      <c r="E179" s="10"/>
      <c r="F179" s="10"/>
      <c r="G179" s="10"/>
      <c r="H179" s="10"/>
    </row>
    <row r="180" spans="1:8" x14ac:dyDescent="0.3">
      <c r="A180" s="10"/>
      <c r="B180" s="16"/>
      <c r="C180" s="10"/>
      <c r="D180" s="10"/>
      <c r="E180" s="10"/>
      <c r="F180" s="10"/>
      <c r="G180" s="10"/>
      <c r="H180" s="10"/>
    </row>
    <row r="181" spans="1:8" x14ac:dyDescent="0.3">
      <c r="A181" s="10"/>
      <c r="B181" s="16"/>
      <c r="C181" s="10"/>
      <c r="D181" s="10"/>
      <c r="E181" s="10"/>
      <c r="F181" s="10"/>
      <c r="G181" s="10"/>
      <c r="H181" s="10"/>
    </row>
    <row r="182" spans="1:8" x14ac:dyDescent="0.3">
      <c r="A182" s="10"/>
      <c r="B182" s="16"/>
      <c r="C182" s="10"/>
      <c r="D182" s="10"/>
      <c r="E182" s="10"/>
      <c r="F182" s="10"/>
      <c r="G182" s="10"/>
      <c r="H182" s="10"/>
    </row>
    <row r="183" spans="1:8" x14ac:dyDescent="0.3">
      <c r="A183" s="10"/>
      <c r="B183" s="16"/>
      <c r="C183" s="10"/>
      <c r="D183" s="10"/>
      <c r="E183" s="10"/>
      <c r="F183" s="10"/>
      <c r="G183" s="10"/>
      <c r="H183" s="10"/>
    </row>
    <row r="184" spans="1:8" x14ac:dyDescent="0.3">
      <c r="A184" s="10"/>
      <c r="B184" s="16"/>
      <c r="C184" s="10"/>
      <c r="D184" s="10"/>
      <c r="E184" s="10"/>
      <c r="F184" s="10"/>
      <c r="G184" s="10"/>
      <c r="H184" s="10"/>
    </row>
    <row r="185" spans="1:8" x14ac:dyDescent="0.3">
      <c r="A185" s="10"/>
      <c r="B185" s="16"/>
      <c r="C185" s="10"/>
      <c r="D185" s="10"/>
      <c r="E185" s="10"/>
      <c r="F185" s="10"/>
      <c r="G185" s="10"/>
      <c r="H185" s="10"/>
    </row>
    <row r="186" spans="1:8" x14ac:dyDescent="0.3">
      <c r="A186" s="10"/>
      <c r="B186" s="16"/>
      <c r="C186" s="10"/>
      <c r="D186" s="10"/>
      <c r="E186" s="10"/>
      <c r="F186" s="10"/>
      <c r="G186" s="10"/>
      <c r="H186" s="10"/>
    </row>
    <row r="187" spans="1:8" x14ac:dyDescent="0.3">
      <c r="A187" s="10"/>
      <c r="B187" s="16"/>
      <c r="C187" s="10"/>
      <c r="D187" s="10"/>
      <c r="E187" s="10"/>
      <c r="F187" s="10"/>
      <c r="G187" s="10"/>
      <c r="H187" s="10"/>
    </row>
    <row r="188" spans="1:8" x14ac:dyDescent="0.3">
      <c r="A188" s="10"/>
      <c r="B188" s="16"/>
      <c r="C188" s="10"/>
      <c r="D188" s="10"/>
      <c r="E188" s="10"/>
      <c r="F188" s="10"/>
      <c r="G188" s="10"/>
      <c r="H188" s="10"/>
    </row>
    <row r="189" spans="1:8" x14ac:dyDescent="0.3">
      <c r="A189" s="10"/>
      <c r="B189" s="16"/>
      <c r="C189" s="10"/>
      <c r="D189" s="10"/>
      <c r="E189" s="10"/>
      <c r="F189" s="10"/>
      <c r="G189" s="10"/>
      <c r="H189" s="10"/>
    </row>
    <row r="190" spans="1:8" x14ac:dyDescent="0.3">
      <c r="A190" s="10"/>
      <c r="B190" s="16"/>
      <c r="C190" s="10"/>
      <c r="D190" s="10"/>
      <c r="E190" s="10"/>
      <c r="F190" s="10"/>
      <c r="G190" s="10"/>
      <c r="H190" s="10"/>
    </row>
    <row r="191" spans="1:8" x14ac:dyDescent="0.3">
      <c r="A191" s="10"/>
      <c r="B191" s="16"/>
      <c r="C191" s="10"/>
      <c r="D191" s="10"/>
      <c r="E191" s="10"/>
      <c r="F191" s="10"/>
      <c r="G191" s="10"/>
      <c r="H191" s="10"/>
    </row>
    <row r="192" spans="1:8" x14ac:dyDescent="0.3">
      <c r="A192" s="10"/>
      <c r="B192" s="16"/>
      <c r="C192" s="10"/>
      <c r="D192" s="10"/>
      <c r="E192" s="10"/>
      <c r="F192" s="10"/>
      <c r="G192" s="10"/>
      <c r="H192" s="10"/>
    </row>
    <row r="193" spans="1:8" x14ac:dyDescent="0.3">
      <c r="A193" s="10"/>
      <c r="B193" s="16"/>
      <c r="C193" s="10"/>
      <c r="D193" s="10"/>
      <c r="E193" s="10"/>
      <c r="F193" s="10"/>
      <c r="G193" s="10"/>
      <c r="H193" s="10"/>
    </row>
    <row r="194" spans="1:8" x14ac:dyDescent="0.3">
      <c r="A194" s="10"/>
      <c r="B194" s="16"/>
      <c r="C194" s="10"/>
      <c r="D194" s="10"/>
      <c r="E194" s="10"/>
      <c r="F194" s="10"/>
      <c r="G194" s="10"/>
      <c r="H194" s="10"/>
    </row>
    <row r="195" spans="1:8" x14ac:dyDescent="0.3">
      <c r="A195" s="10"/>
      <c r="B195" s="16"/>
      <c r="C195" s="10"/>
      <c r="D195" s="10"/>
      <c r="E195" s="10"/>
      <c r="F195" s="10"/>
      <c r="G195" s="10"/>
      <c r="H195" s="10"/>
    </row>
    <row r="196" spans="1:8" x14ac:dyDescent="0.3">
      <c r="A196" s="10"/>
      <c r="B196" s="16"/>
      <c r="C196" s="10"/>
      <c r="D196" s="10"/>
      <c r="E196" s="10"/>
      <c r="F196" s="10"/>
      <c r="G196" s="10"/>
      <c r="H196" s="10"/>
    </row>
    <row r="197" spans="1:8" x14ac:dyDescent="0.3">
      <c r="A197" s="10"/>
      <c r="B197" s="16"/>
      <c r="C197" s="10"/>
      <c r="D197" s="10"/>
      <c r="E197" s="10"/>
      <c r="F197" s="10"/>
      <c r="G197" s="10"/>
      <c r="H197" s="10"/>
    </row>
    <row r="198" spans="1:8" x14ac:dyDescent="0.3">
      <c r="A198" s="10"/>
      <c r="B198" s="16"/>
      <c r="C198" s="10"/>
      <c r="D198" s="10"/>
      <c r="E198" s="10"/>
      <c r="F198" s="10"/>
      <c r="G198" s="10"/>
      <c r="H198" s="10"/>
    </row>
    <row r="199" spans="1:8" x14ac:dyDescent="0.3">
      <c r="A199" s="10"/>
      <c r="B199" s="16"/>
      <c r="C199" s="10"/>
      <c r="D199" s="10"/>
      <c r="E199" s="10"/>
      <c r="F199" s="10"/>
      <c r="G199" s="10"/>
      <c r="H199" s="10"/>
    </row>
    <row r="200" spans="1:8" x14ac:dyDescent="0.3">
      <c r="A200" s="10"/>
      <c r="B200" s="16"/>
      <c r="C200" s="10"/>
      <c r="D200" s="10"/>
      <c r="E200" s="10"/>
      <c r="F200" s="10"/>
      <c r="G200" s="10"/>
      <c r="H200" s="10"/>
    </row>
    <row r="201" spans="1:8" x14ac:dyDescent="0.3">
      <c r="A201" s="10"/>
      <c r="B201" s="16"/>
      <c r="C201" s="10"/>
      <c r="D201" s="10"/>
      <c r="E201" s="10"/>
      <c r="F201" s="10"/>
      <c r="G201" s="10"/>
      <c r="H201" s="10"/>
    </row>
    <row r="202" spans="1:8" x14ac:dyDescent="0.3">
      <c r="A202" s="10"/>
      <c r="B202" s="16"/>
      <c r="C202" s="10"/>
      <c r="D202" s="10"/>
      <c r="E202" s="10"/>
      <c r="F202" s="10"/>
      <c r="G202" s="10"/>
      <c r="H202" s="10"/>
    </row>
    <row r="203" spans="1:8" x14ac:dyDescent="0.3">
      <c r="A203" s="10"/>
      <c r="B203" s="16"/>
      <c r="C203" s="10"/>
      <c r="D203" s="10"/>
      <c r="E203" s="10"/>
      <c r="F203" s="10"/>
      <c r="G203" s="10"/>
      <c r="H203" s="10"/>
    </row>
    <row r="204" spans="1:8" x14ac:dyDescent="0.3">
      <c r="A204" s="10"/>
      <c r="B204" s="16"/>
      <c r="C204" s="10"/>
      <c r="D204" s="10"/>
      <c r="E204" s="10"/>
      <c r="F204" s="10"/>
      <c r="G204" s="10"/>
      <c r="H204" s="10"/>
    </row>
    <row r="205" spans="1:8" x14ac:dyDescent="0.3">
      <c r="A205" s="10"/>
      <c r="B205" s="16"/>
      <c r="C205" s="10"/>
      <c r="D205" s="10"/>
      <c r="E205" s="10"/>
      <c r="F205" s="10"/>
      <c r="G205" s="10"/>
      <c r="H205" s="10"/>
    </row>
    <row r="206" spans="1:8" x14ac:dyDescent="0.3">
      <c r="A206" s="10"/>
      <c r="B206" s="16"/>
      <c r="C206" s="10"/>
      <c r="D206" s="10"/>
      <c r="E206" s="10"/>
      <c r="F206" s="10"/>
      <c r="G206" s="10"/>
      <c r="H206" s="10"/>
    </row>
    <row r="207" spans="1:8" x14ac:dyDescent="0.3">
      <c r="A207" s="10"/>
      <c r="B207" s="16"/>
      <c r="C207" s="10"/>
      <c r="D207" s="10"/>
      <c r="E207" s="10"/>
      <c r="F207" s="10"/>
      <c r="G207" s="10"/>
      <c r="H207" s="10"/>
    </row>
    <row r="208" spans="1:8" x14ac:dyDescent="0.3">
      <c r="A208" s="10"/>
      <c r="B208" s="16"/>
      <c r="C208" s="10"/>
      <c r="D208" s="10"/>
      <c r="E208" s="10"/>
      <c r="F208" s="10"/>
      <c r="G208" s="10"/>
      <c r="H208" s="10"/>
    </row>
    <row r="209" spans="1:8" x14ac:dyDescent="0.3">
      <c r="A209" s="10"/>
      <c r="B209" s="16"/>
      <c r="C209" s="10"/>
      <c r="D209" s="10"/>
      <c r="E209" s="10"/>
      <c r="F209" s="10"/>
      <c r="G209" s="10"/>
      <c r="H209" s="10"/>
    </row>
    <row r="210" spans="1:8" x14ac:dyDescent="0.3">
      <c r="A210" s="10"/>
      <c r="B210" s="16"/>
      <c r="C210" s="10"/>
      <c r="D210" s="10"/>
      <c r="E210" s="10"/>
      <c r="F210" s="10"/>
      <c r="G210" s="10"/>
      <c r="H210" s="10"/>
    </row>
    <row r="211" spans="1:8" x14ac:dyDescent="0.3">
      <c r="A211" s="10"/>
      <c r="B211" s="16"/>
      <c r="C211" s="10"/>
      <c r="D211" s="10"/>
      <c r="E211" s="10"/>
      <c r="F211" s="10"/>
      <c r="G211" s="10"/>
      <c r="H211" s="10"/>
    </row>
    <row r="212" spans="1:8" x14ac:dyDescent="0.3">
      <c r="A212" s="10"/>
      <c r="B212" s="16"/>
      <c r="C212" s="10"/>
      <c r="D212" s="10"/>
      <c r="E212" s="10"/>
      <c r="F212" s="10"/>
      <c r="G212" s="10"/>
      <c r="H212" s="10"/>
    </row>
    <row r="213" spans="1:8" x14ac:dyDescent="0.3">
      <c r="A213" s="10"/>
      <c r="B213" s="16"/>
      <c r="C213" s="10"/>
      <c r="D213" s="10"/>
      <c r="E213" s="10"/>
      <c r="F213" s="10"/>
      <c r="G213" s="10"/>
      <c r="H213" s="10"/>
    </row>
    <row r="214" spans="1:8" x14ac:dyDescent="0.3">
      <c r="A214" s="10"/>
      <c r="B214" s="16"/>
      <c r="C214" s="10"/>
      <c r="D214" s="10"/>
      <c r="E214" s="10"/>
      <c r="F214" s="10"/>
      <c r="G214" s="10"/>
      <c r="H214" s="10"/>
    </row>
    <row r="215" spans="1:8" x14ac:dyDescent="0.3">
      <c r="A215" s="10"/>
      <c r="B215" s="16"/>
      <c r="C215" s="10"/>
      <c r="D215" s="10"/>
      <c r="E215" s="10"/>
      <c r="F215" s="10"/>
      <c r="G215" s="10"/>
      <c r="H215" s="10"/>
    </row>
    <row r="216" spans="1:8" x14ac:dyDescent="0.3">
      <c r="A216" s="10"/>
      <c r="B216" s="16"/>
      <c r="C216" s="10"/>
      <c r="D216" s="10"/>
      <c r="E216" s="10"/>
      <c r="F216" s="10"/>
      <c r="G216" s="10"/>
      <c r="H216" s="10"/>
    </row>
    <row r="217" spans="1:8" x14ac:dyDescent="0.3">
      <c r="A217" s="10"/>
      <c r="B217" s="16"/>
      <c r="C217" s="10"/>
      <c r="D217" s="10"/>
      <c r="E217" s="10"/>
      <c r="F217" s="10"/>
      <c r="G217" s="10"/>
      <c r="H217" s="10"/>
    </row>
    <row r="218" spans="1:8" x14ac:dyDescent="0.3">
      <c r="A218" s="10"/>
      <c r="B218" s="16"/>
      <c r="C218" s="10"/>
      <c r="D218" s="10"/>
      <c r="E218" s="10"/>
      <c r="F218" s="10"/>
      <c r="G218" s="10"/>
      <c r="H218" s="10"/>
    </row>
    <row r="219" spans="1:8" x14ac:dyDescent="0.3">
      <c r="A219" s="10"/>
      <c r="B219" s="16"/>
      <c r="C219" s="10"/>
      <c r="D219" s="10"/>
      <c r="E219" s="10"/>
      <c r="F219" s="10"/>
      <c r="G219" s="10"/>
      <c r="H219" s="10"/>
    </row>
    <row r="220" spans="1:8" x14ac:dyDescent="0.3">
      <c r="A220" s="10"/>
      <c r="B220" s="16"/>
      <c r="C220" s="10"/>
      <c r="D220" s="10"/>
      <c r="E220" s="10"/>
      <c r="F220" s="10"/>
      <c r="G220" s="10"/>
      <c r="H220" s="10"/>
    </row>
    <row r="221" spans="1:8" x14ac:dyDescent="0.3">
      <c r="A221" s="10"/>
      <c r="B221" s="16"/>
      <c r="C221" s="10"/>
      <c r="D221" s="10"/>
      <c r="E221" s="10"/>
      <c r="F221" s="10"/>
      <c r="G221" s="10"/>
      <c r="H221" s="10"/>
    </row>
    <row r="222" spans="1:8" x14ac:dyDescent="0.3">
      <c r="A222" s="10"/>
      <c r="B222" s="16"/>
      <c r="C222" s="10"/>
      <c r="D222" s="10"/>
      <c r="E222" s="10"/>
      <c r="F222" s="10"/>
      <c r="G222" s="10"/>
      <c r="H222" s="10"/>
    </row>
    <row r="223" spans="1:8" x14ac:dyDescent="0.3">
      <c r="A223" s="10"/>
      <c r="B223" s="16"/>
      <c r="C223" s="10"/>
      <c r="D223" s="10"/>
      <c r="E223" s="10"/>
      <c r="F223" s="10"/>
      <c r="G223" s="10"/>
      <c r="H223" s="10"/>
    </row>
    <row r="224" spans="1:8" x14ac:dyDescent="0.3">
      <c r="A224" s="10"/>
      <c r="B224" s="16"/>
      <c r="C224" s="10"/>
      <c r="D224" s="10"/>
      <c r="E224" s="10"/>
      <c r="F224" s="10"/>
      <c r="G224" s="10"/>
      <c r="H224" s="10"/>
    </row>
    <row r="225" spans="1:8" x14ac:dyDescent="0.3">
      <c r="A225" s="10"/>
      <c r="B225" s="16"/>
      <c r="C225" s="10"/>
      <c r="D225" s="10"/>
      <c r="E225" s="10"/>
      <c r="F225" s="10"/>
      <c r="G225" s="10"/>
      <c r="H225" s="10"/>
    </row>
    <row r="226" spans="1:8" x14ac:dyDescent="0.3">
      <c r="A226" s="10"/>
      <c r="B226" s="16"/>
      <c r="C226" s="10"/>
      <c r="D226" s="10"/>
      <c r="E226" s="10"/>
      <c r="F226" s="10"/>
      <c r="G226" s="10"/>
      <c r="H226" s="10"/>
    </row>
    <row r="227" spans="1:8" x14ac:dyDescent="0.3">
      <c r="A227" s="10"/>
      <c r="B227" s="16"/>
      <c r="C227" s="10"/>
      <c r="D227" s="10"/>
      <c r="E227" s="10"/>
      <c r="F227" s="10"/>
      <c r="G227" s="10"/>
      <c r="H227" s="10"/>
    </row>
    <row r="228" spans="1:8" x14ac:dyDescent="0.3">
      <c r="A228" s="10"/>
      <c r="B228" s="16"/>
      <c r="C228" s="10"/>
      <c r="D228" s="10"/>
      <c r="E228" s="10"/>
      <c r="F228" s="10"/>
      <c r="G228" s="10"/>
      <c r="H228" s="10"/>
    </row>
    <row r="229" spans="1:8" x14ac:dyDescent="0.3">
      <c r="A229" s="10"/>
      <c r="B229" s="16"/>
      <c r="C229" s="10"/>
      <c r="D229" s="10"/>
      <c r="E229" s="10"/>
      <c r="F229" s="10"/>
      <c r="G229" s="10"/>
      <c r="H229" s="10"/>
    </row>
    <row r="230" spans="1:8" x14ac:dyDescent="0.3">
      <c r="A230" s="10"/>
      <c r="B230" s="16"/>
      <c r="C230" s="10"/>
      <c r="D230" s="10"/>
      <c r="E230" s="10"/>
      <c r="F230" s="10"/>
      <c r="G230" s="10"/>
      <c r="H230" s="10"/>
    </row>
    <row r="231" spans="1:8" x14ac:dyDescent="0.3">
      <c r="A231" s="10"/>
      <c r="B231" s="16"/>
      <c r="C231" s="10"/>
      <c r="D231" s="10"/>
      <c r="E231" s="10"/>
      <c r="F231" s="10"/>
      <c r="G231" s="10"/>
      <c r="H231" s="10"/>
    </row>
    <row r="232" spans="1:8" x14ac:dyDescent="0.3">
      <c r="A232" s="10"/>
      <c r="B232" s="16"/>
      <c r="C232" s="10"/>
      <c r="D232" s="10"/>
      <c r="E232" s="10"/>
      <c r="F232" s="10"/>
      <c r="G232" s="10"/>
      <c r="H232" s="10"/>
    </row>
    <row r="233" spans="1:8" x14ac:dyDescent="0.3">
      <c r="A233" s="10"/>
      <c r="B233" s="16"/>
      <c r="C233" s="10"/>
      <c r="D233" s="10"/>
      <c r="E233" s="10"/>
      <c r="F233" s="10"/>
      <c r="G233" s="10"/>
      <c r="H233" s="10"/>
    </row>
    <row r="234" spans="1:8" x14ac:dyDescent="0.3">
      <c r="A234" s="10"/>
      <c r="B234" s="16"/>
      <c r="C234" s="10"/>
      <c r="D234" s="10"/>
      <c r="E234" s="10"/>
      <c r="F234" s="10"/>
      <c r="G234" s="10"/>
      <c r="H234" s="10"/>
    </row>
    <row r="235" spans="1:8" x14ac:dyDescent="0.3">
      <c r="A235" s="10"/>
      <c r="B235" s="16"/>
      <c r="C235" s="10"/>
      <c r="D235" s="10"/>
      <c r="E235" s="10"/>
      <c r="F235" s="10"/>
      <c r="G235" s="10"/>
      <c r="H235" s="10"/>
    </row>
    <row r="236" spans="1:8" x14ac:dyDescent="0.3">
      <c r="A236" s="10"/>
      <c r="B236" s="16"/>
      <c r="C236" s="10"/>
      <c r="D236" s="10"/>
      <c r="E236" s="10"/>
      <c r="F236" s="10"/>
      <c r="G236" s="10"/>
      <c r="H236" s="10"/>
    </row>
    <row r="237" spans="1:8" x14ac:dyDescent="0.3">
      <c r="A237" s="10"/>
      <c r="B237" s="16"/>
      <c r="C237" s="10"/>
      <c r="D237" s="10"/>
      <c r="E237" s="10"/>
      <c r="F237" s="10"/>
      <c r="G237" s="10"/>
      <c r="H237" s="10"/>
    </row>
    <row r="238" spans="1:8" x14ac:dyDescent="0.3">
      <c r="A238" s="10"/>
      <c r="B238" s="16"/>
      <c r="C238" s="10"/>
      <c r="D238" s="10"/>
      <c r="E238" s="10"/>
      <c r="F238" s="10"/>
      <c r="G238" s="10"/>
      <c r="H238" s="10"/>
    </row>
    <row r="239" spans="1:8" x14ac:dyDescent="0.3">
      <c r="A239" s="10"/>
      <c r="B239" s="16"/>
      <c r="C239" s="10"/>
      <c r="D239" s="10"/>
      <c r="E239" s="10"/>
      <c r="F239" s="10"/>
      <c r="G239" s="10"/>
      <c r="H239" s="10"/>
    </row>
    <row r="240" spans="1:8" x14ac:dyDescent="0.3">
      <c r="A240" s="10"/>
      <c r="B240" s="16"/>
      <c r="C240" s="10"/>
      <c r="D240" s="10"/>
      <c r="E240" s="10"/>
      <c r="F240" s="10"/>
      <c r="G240" s="10"/>
      <c r="H240" s="10"/>
    </row>
    <row r="241" spans="1:8" x14ac:dyDescent="0.3">
      <c r="A241" s="10"/>
      <c r="B241" s="16"/>
      <c r="C241" s="10"/>
      <c r="D241" s="10"/>
      <c r="E241" s="10"/>
      <c r="F241" s="10"/>
      <c r="G241" s="10"/>
      <c r="H241" s="10"/>
    </row>
    <row r="242" spans="1:8" x14ac:dyDescent="0.3">
      <c r="A242" s="10"/>
      <c r="B242" s="16"/>
      <c r="C242" s="10"/>
      <c r="D242" s="10"/>
      <c r="E242" s="10"/>
      <c r="F242" s="10"/>
      <c r="G242" s="10"/>
      <c r="H242" s="10"/>
    </row>
    <row r="243" spans="1:8" x14ac:dyDescent="0.3">
      <c r="A243" s="10"/>
      <c r="B243" s="16"/>
      <c r="C243" s="10"/>
      <c r="D243" s="10"/>
      <c r="E243" s="10"/>
      <c r="F243" s="10"/>
      <c r="G243" s="10"/>
      <c r="H243" s="10"/>
    </row>
    <row r="244" spans="1:8" x14ac:dyDescent="0.3">
      <c r="A244" s="10"/>
      <c r="B244" s="16"/>
      <c r="C244" s="10"/>
      <c r="D244" s="10"/>
      <c r="E244" s="10"/>
      <c r="F244" s="10"/>
      <c r="G244" s="10"/>
      <c r="H244" s="10"/>
    </row>
    <row r="245" spans="1:8" x14ac:dyDescent="0.3">
      <c r="A245" s="10"/>
      <c r="B245" s="16"/>
      <c r="C245" s="10"/>
      <c r="D245" s="10"/>
      <c r="E245" s="10"/>
      <c r="F245" s="10"/>
      <c r="G245" s="10"/>
      <c r="H245" s="10"/>
    </row>
    <row r="246" spans="1:8" x14ac:dyDescent="0.3">
      <c r="A246" s="10"/>
      <c r="B246" s="16"/>
      <c r="C246" s="10"/>
      <c r="D246" s="10"/>
      <c r="E246" s="10"/>
      <c r="F246" s="10"/>
      <c r="G246" s="10"/>
      <c r="H246" s="10"/>
    </row>
    <row r="247" spans="1:8" x14ac:dyDescent="0.3">
      <c r="A247" s="10"/>
      <c r="B247" s="16"/>
      <c r="C247" s="10"/>
      <c r="D247" s="10"/>
      <c r="E247" s="10"/>
      <c r="F247" s="10"/>
      <c r="G247" s="10"/>
      <c r="H247" s="10"/>
    </row>
    <row r="248" spans="1:8" x14ac:dyDescent="0.3">
      <c r="A248" s="10"/>
      <c r="B248" s="16"/>
      <c r="C248" s="10"/>
      <c r="D248" s="10"/>
      <c r="E248" s="10"/>
      <c r="F248" s="10"/>
      <c r="G248" s="10"/>
      <c r="H248" s="10"/>
    </row>
    <row r="249" spans="1:8" x14ac:dyDescent="0.3">
      <c r="A249" s="10"/>
      <c r="B249" s="16"/>
      <c r="C249" s="10"/>
      <c r="D249" s="10"/>
      <c r="E249" s="10"/>
      <c r="F249" s="10"/>
      <c r="G249" s="10"/>
      <c r="H249" s="10"/>
    </row>
    <row r="250" spans="1:8" x14ac:dyDescent="0.3">
      <c r="A250" s="10"/>
      <c r="B250" s="16"/>
      <c r="C250" s="10"/>
      <c r="D250" s="10"/>
      <c r="E250" s="10"/>
      <c r="F250" s="10"/>
      <c r="G250" s="10"/>
      <c r="H250" s="10"/>
    </row>
    <row r="251" spans="1:8" x14ac:dyDescent="0.3">
      <c r="A251" s="10"/>
      <c r="B251" s="16"/>
      <c r="C251" s="10"/>
      <c r="D251" s="10"/>
      <c r="E251" s="10"/>
      <c r="F251" s="10"/>
      <c r="G251" s="10"/>
      <c r="H251" s="10"/>
    </row>
    <row r="252" spans="1:8" x14ac:dyDescent="0.3">
      <c r="A252" s="10"/>
      <c r="B252" s="16"/>
      <c r="C252" s="10"/>
      <c r="D252" s="10"/>
      <c r="E252" s="10"/>
      <c r="F252" s="10"/>
      <c r="G252" s="10"/>
      <c r="H252" s="10"/>
    </row>
    <row r="253" spans="1:8" x14ac:dyDescent="0.3">
      <c r="A253" s="10"/>
      <c r="B253" s="16"/>
      <c r="C253" s="10"/>
      <c r="D253" s="10"/>
      <c r="E253" s="10"/>
      <c r="F253" s="10"/>
      <c r="G253" s="10"/>
      <c r="H253" s="10"/>
    </row>
    <row r="254" spans="1:8" x14ac:dyDescent="0.3">
      <c r="A254" s="10"/>
      <c r="B254" s="16"/>
      <c r="C254" s="10"/>
      <c r="D254" s="10"/>
      <c r="E254" s="10"/>
      <c r="F254" s="10"/>
      <c r="G254" s="10"/>
      <c r="H254" s="10"/>
    </row>
    <row r="255" spans="1:8" x14ac:dyDescent="0.3">
      <c r="A255" s="10"/>
      <c r="B255" s="16"/>
      <c r="C255" s="10"/>
      <c r="D255" s="10"/>
      <c r="E255" s="10"/>
      <c r="F255" s="10"/>
      <c r="G255" s="10"/>
      <c r="H255" s="10"/>
    </row>
    <row r="256" spans="1:8" x14ac:dyDescent="0.3">
      <c r="A256" s="10"/>
      <c r="B256" s="16"/>
      <c r="C256" s="10"/>
      <c r="D256" s="10"/>
      <c r="E256" s="10"/>
      <c r="F256" s="10"/>
      <c r="G256" s="10"/>
      <c r="H256" s="10"/>
    </row>
    <row r="257" spans="1:8" x14ac:dyDescent="0.3">
      <c r="A257" s="10"/>
      <c r="B257" s="16"/>
      <c r="C257" s="10"/>
      <c r="D257" s="10"/>
      <c r="E257" s="10"/>
      <c r="F257" s="10"/>
      <c r="G257" s="10"/>
      <c r="H257" s="10"/>
    </row>
    <row r="258" spans="1:8" x14ac:dyDescent="0.3">
      <c r="A258" s="10"/>
      <c r="B258" s="16"/>
      <c r="C258" s="10"/>
      <c r="D258" s="10"/>
      <c r="E258" s="10"/>
      <c r="F258" s="10"/>
      <c r="G258" s="10"/>
      <c r="H258" s="10"/>
    </row>
    <row r="259" spans="1:8" x14ac:dyDescent="0.3">
      <c r="A259" s="10"/>
      <c r="B259" s="16"/>
      <c r="C259" s="10"/>
      <c r="D259" s="10"/>
      <c r="E259" s="10"/>
      <c r="F259" s="10"/>
      <c r="G259" s="10"/>
      <c r="H259" s="10"/>
    </row>
    <row r="260" spans="1:8" x14ac:dyDescent="0.3">
      <c r="A260" s="10"/>
      <c r="B260" s="16"/>
      <c r="C260" s="10"/>
      <c r="D260" s="10"/>
      <c r="E260" s="10"/>
      <c r="F260" s="10"/>
      <c r="G260" s="10"/>
      <c r="H260" s="10"/>
    </row>
    <row r="261" spans="1:8" x14ac:dyDescent="0.3">
      <c r="A261" s="10"/>
      <c r="B261" s="16"/>
      <c r="C261" s="10"/>
      <c r="D261" s="10"/>
      <c r="E261" s="10"/>
      <c r="F261" s="10"/>
      <c r="G261" s="10"/>
      <c r="H261" s="10"/>
    </row>
    <row r="262" spans="1:8" x14ac:dyDescent="0.3">
      <c r="A262" s="10"/>
      <c r="B262" s="16"/>
      <c r="C262" s="10"/>
      <c r="D262" s="10"/>
      <c r="E262" s="10"/>
      <c r="F262" s="10"/>
      <c r="G262" s="10"/>
      <c r="H262" s="10"/>
    </row>
    <row r="263" spans="1:8" x14ac:dyDescent="0.3">
      <c r="A263" s="10"/>
      <c r="B263" s="16"/>
      <c r="C263" s="10"/>
      <c r="D263" s="10"/>
      <c r="E263" s="10"/>
      <c r="F263" s="10"/>
      <c r="G263" s="10"/>
      <c r="H263" s="10"/>
    </row>
    <row r="264" spans="1:8" x14ac:dyDescent="0.3">
      <c r="A264" s="10"/>
      <c r="B264" s="16"/>
      <c r="C264" s="10"/>
      <c r="D264" s="10"/>
      <c r="E264" s="10"/>
      <c r="F264" s="10"/>
      <c r="G264" s="10"/>
      <c r="H264" s="10"/>
    </row>
    <row r="265" spans="1:8" x14ac:dyDescent="0.3">
      <c r="A265" s="10"/>
      <c r="B265" s="16"/>
      <c r="C265" s="10"/>
      <c r="D265" s="10"/>
      <c r="E265" s="10"/>
      <c r="F265" s="10"/>
      <c r="G265" s="10"/>
      <c r="H265" s="10"/>
    </row>
    <row r="266" spans="1:8" x14ac:dyDescent="0.3">
      <c r="A266" s="10"/>
      <c r="B266" s="16"/>
      <c r="C266" s="10"/>
      <c r="D266" s="10"/>
      <c r="E266" s="10"/>
      <c r="F266" s="10"/>
      <c r="G266" s="10"/>
      <c r="H266" s="10"/>
    </row>
    <row r="267" spans="1:8" x14ac:dyDescent="0.3">
      <c r="A267" s="10"/>
      <c r="B267" s="16"/>
      <c r="C267" s="10"/>
      <c r="D267" s="10"/>
      <c r="E267" s="10"/>
      <c r="F267" s="10"/>
      <c r="G267" s="10"/>
      <c r="H267" s="10"/>
    </row>
    <row r="268" spans="1:8" x14ac:dyDescent="0.3">
      <c r="A268" s="10"/>
      <c r="B268" s="16"/>
      <c r="C268" s="10"/>
      <c r="D268" s="10"/>
      <c r="E268" s="10"/>
      <c r="F268" s="10"/>
      <c r="G268" s="10"/>
      <c r="H268" s="10"/>
    </row>
    <row r="269" spans="1:8" x14ac:dyDescent="0.3">
      <c r="A269" s="10"/>
      <c r="B269" s="16"/>
      <c r="C269" s="10"/>
      <c r="D269" s="10"/>
      <c r="E269" s="10"/>
      <c r="F269" s="10"/>
      <c r="G269" s="10"/>
      <c r="H269" s="10"/>
    </row>
    <row r="270" spans="1:8" x14ac:dyDescent="0.3">
      <c r="A270" s="10"/>
      <c r="B270" s="16"/>
      <c r="C270" s="10"/>
      <c r="D270" s="10"/>
      <c r="E270" s="10"/>
      <c r="F270" s="10"/>
      <c r="G270" s="10"/>
      <c r="H270" s="10"/>
    </row>
    <row r="271" spans="1:8" x14ac:dyDescent="0.3">
      <c r="A271" s="10"/>
      <c r="B271" s="16"/>
      <c r="C271" s="10"/>
      <c r="D271" s="10"/>
      <c r="E271" s="10"/>
      <c r="F271" s="10"/>
      <c r="G271" s="10"/>
      <c r="H271" s="10"/>
    </row>
    <row r="272" spans="1:8" x14ac:dyDescent="0.3">
      <c r="A272" s="10"/>
      <c r="B272" s="16"/>
      <c r="C272" s="10"/>
      <c r="D272" s="10"/>
      <c r="E272" s="10"/>
      <c r="F272" s="10"/>
      <c r="G272" s="10"/>
      <c r="H272" s="10"/>
    </row>
    <row r="273" spans="1:8" x14ac:dyDescent="0.3">
      <c r="A273" s="10"/>
      <c r="B273" s="16"/>
      <c r="C273" s="10"/>
      <c r="D273" s="10"/>
      <c r="E273" s="10"/>
      <c r="F273" s="10"/>
      <c r="G273" s="10"/>
      <c r="H273" s="10"/>
    </row>
    <row r="274" spans="1:8" x14ac:dyDescent="0.3">
      <c r="A274" s="10"/>
      <c r="B274" s="16"/>
      <c r="C274" s="10"/>
      <c r="D274" s="10"/>
      <c r="E274" s="10"/>
      <c r="F274" s="10"/>
      <c r="G274" s="10"/>
      <c r="H274" s="10"/>
    </row>
    <row r="275" spans="1:8" x14ac:dyDescent="0.3">
      <c r="A275" s="10"/>
      <c r="B275" s="16"/>
      <c r="C275" s="10"/>
      <c r="D275" s="10"/>
      <c r="E275" s="10"/>
      <c r="F275" s="10"/>
      <c r="G275" s="10"/>
      <c r="H275" s="10"/>
    </row>
    <row r="276" spans="1:8" x14ac:dyDescent="0.3">
      <c r="A276" s="10"/>
      <c r="B276" s="16"/>
      <c r="C276" s="10"/>
      <c r="D276" s="10"/>
      <c r="E276" s="10"/>
      <c r="F276" s="10"/>
      <c r="G276" s="10"/>
      <c r="H276" s="10"/>
    </row>
    <row r="277" spans="1:8" x14ac:dyDescent="0.3">
      <c r="A277" s="10"/>
      <c r="B277" s="16"/>
      <c r="C277" s="10"/>
      <c r="D277" s="10"/>
      <c r="E277" s="10"/>
      <c r="F277" s="10"/>
      <c r="G277" s="10"/>
      <c r="H277" s="10"/>
    </row>
    <row r="278" spans="1:8" x14ac:dyDescent="0.3">
      <c r="A278" s="10"/>
      <c r="B278" s="16"/>
      <c r="C278" s="10"/>
      <c r="D278" s="10"/>
      <c r="E278" s="10"/>
      <c r="F278" s="10"/>
      <c r="G278" s="10"/>
      <c r="H278" s="10"/>
    </row>
    <row r="279" spans="1:8" x14ac:dyDescent="0.3">
      <c r="A279" s="10"/>
      <c r="B279" s="16"/>
      <c r="C279" s="10"/>
      <c r="D279" s="10"/>
      <c r="E279" s="10"/>
      <c r="F279" s="10"/>
      <c r="G279" s="10"/>
      <c r="H279" s="10"/>
    </row>
    <row r="280" spans="1:8" x14ac:dyDescent="0.3">
      <c r="A280" s="10"/>
      <c r="B280" s="16"/>
      <c r="C280" s="10"/>
      <c r="D280" s="10"/>
      <c r="E280" s="10"/>
      <c r="F280" s="10"/>
      <c r="G280" s="10"/>
      <c r="H280" s="10"/>
    </row>
    <row r="281" spans="1:8" x14ac:dyDescent="0.3">
      <c r="A281" s="10"/>
      <c r="B281" s="16"/>
      <c r="C281" s="10"/>
      <c r="D281" s="10"/>
      <c r="E281" s="10"/>
      <c r="F281" s="10"/>
      <c r="G281" s="10"/>
      <c r="H281" s="10"/>
    </row>
    <row r="282" spans="1:8" x14ac:dyDescent="0.3">
      <c r="A282" s="10"/>
      <c r="B282" s="16"/>
      <c r="C282" s="10"/>
      <c r="D282" s="10"/>
      <c r="E282" s="10"/>
      <c r="F282" s="10"/>
      <c r="G282" s="10"/>
      <c r="H282" s="10"/>
    </row>
    <row r="283" spans="1:8" x14ac:dyDescent="0.3">
      <c r="A283" s="10"/>
      <c r="B283" s="16"/>
      <c r="C283" s="10"/>
      <c r="D283" s="10"/>
      <c r="E283" s="10"/>
      <c r="F283" s="10"/>
      <c r="G283" s="10"/>
      <c r="H283" s="10"/>
    </row>
    <row r="284" spans="1:8" x14ac:dyDescent="0.3">
      <c r="A284" s="10"/>
      <c r="B284" s="16"/>
      <c r="C284" s="10"/>
      <c r="D284" s="10"/>
      <c r="E284" s="10"/>
      <c r="F284" s="10"/>
      <c r="G284" s="10"/>
      <c r="H284" s="10"/>
    </row>
    <row r="285" spans="1:8" x14ac:dyDescent="0.3">
      <c r="A285" s="10"/>
      <c r="B285" s="16"/>
      <c r="C285" s="10"/>
      <c r="D285" s="10"/>
      <c r="E285" s="10"/>
      <c r="F285" s="10"/>
      <c r="G285" s="10"/>
      <c r="H285" s="10"/>
    </row>
    <row r="286" spans="1:8" x14ac:dyDescent="0.3">
      <c r="A286" s="10"/>
      <c r="B286" s="16"/>
      <c r="C286" s="10"/>
      <c r="D286" s="10"/>
      <c r="E286" s="10"/>
      <c r="F286" s="10"/>
      <c r="G286" s="10"/>
      <c r="H286" s="10"/>
    </row>
    <row r="287" spans="1:8" x14ac:dyDescent="0.3">
      <c r="A287" s="10"/>
      <c r="B287" s="16"/>
      <c r="C287" s="10"/>
      <c r="D287" s="10"/>
      <c r="E287" s="10"/>
      <c r="F287" s="10"/>
      <c r="G287" s="10"/>
      <c r="H287" s="10"/>
    </row>
    <row r="288" spans="1:8" x14ac:dyDescent="0.3">
      <c r="A288" s="10"/>
      <c r="B288" s="16"/>
      <c r="C288" s="10"/>
      <c r="D288" s="10"/>
      <c r="E288" s="10"/>
      <c r="F288" s="10"/>
      <c r="G288" s="10"/>
      <c r="H288" s="10"/>
    </row>
    <row r="289" spans="1:8" x14ac:dyDescent="0.3">
      <c r="A289" s="10"/>
      <c r="B289" s="16"/>
      <c r="C289" s="10"/>
      <c r="D289" s="10"/>
      <c r="E289" s="10"/>
      <c r="F289" s="10"/>
      <c r="G289" s="10"/>
      <c r="H289" s="10"/>
    </row>
    <row r="290" spans="1:8" x14ac:dyDescent="0.3">
      <c r="A290" s="10"/>
      <c r="B290" s="16"/>
      <c r="C290" s="10"/>
      <c r="D290" s="10"/>
      <c r="E290" s="10"/>
      <c r="F290" s="10"/>
      <c r="G290" s="10"/>
      <c r="H290" s="10"/>
    </row>
    <row r="291" spans="1:8" x14ac:dyDescent="0.3">
      <c r="A291" s="10"/>
      <c r="B291" s="16"/>
      <c r="C291" s="10"/>
      <c r="D291" s="10"/>
      <c r="E291" s="10"/>
      <c r="F291" s="10"/>
      <c r="G291" s="10"/>
      <c r="H291" s="10"/>
    </row>
    <row r="292" spans="1:8" x14ac:dyDescent="0.3">
      <c r="A292" s="10"/>
      <c r="B292" s="16"/>
      <c r="C292" s="10"/>
      <c r="D292" s="10"/>
      <c r="E292" s="10"/>
      <c r="F292" s="10"/>
      <c r="G292" s="10"/>
      <c r="H292" s="10"/>
    </row>
    <row r="293" spans="1:8" x14ac:dyDescent="0.3">
      <c r="A293" s="10"/>
      <c r="B293" s="16"/>
      <c r="C293" s="10"/>
      <c r="D293" s="10"/>
      <c r="E293" s="10"/>
      <c r="F293" s="10"/>
      <c r="G293" s="10"/>
      <c r="H293" s="10"/>
    </row>
    <row r="294" spans="1:8" x14ac:dyDescent="0.3">
      <c r="A294" s="10"/>
      <c r="B294" s="16"/>
      <c r="C294" s="10"/>
      <c r="D294" s="10"/>
      <c r="E294" s="10"/>
      <c r="F294" s="10"/>
      <c r="G294" s="10"/>
      <c r="H294" s="10"/>
    </row>
    <row r="295" spans="1:8" x14ac:dyDescent="0.3">
      <c r="A295" s="10"/>
      <c r="B295" s="16"/>
      <c r="C295" s="10"/>
      <c r="D295" s="10"/>
      <c r="E295" s="10"/>
      <c r="F295" s="10"/>
      <c r="G295" s="10"/>
      <c r="H295" s="10"/>
    </row>
    <row r="296" spans="1:8" x14ac:dyDescent="0.3">
      <c r="A296" s="10"/>
      <c r="B296" s="16"/>
      <c r="C296" s="10"/>
      <c r="D296" s="10"/>
      <c r="E296" s="10"/>
      <c r="F296" s="10"/>
      <c r="G296" s="10"/>
      <c r="H296" s="10"/>
    </row>
    <row r="297" spans="1:8" x14ac:dyDescent="0.3">
      <c r="A297" s="10"/>
      <c r="B297" s="16"/>
      <c r="C297" s="10"/>
      <c r="D297" s="10"/>
      <c r="E297" s="10"/>
      <c r="F297" s="10"/>
      <c r="G297" s="10"/>
      <c r="H297" s="10"/>
    </row>
    <row r="298" spans="1:8" x14ac:dyDescent="0.3">
      <c r="A298" s="10"/>
      <c r="B298" s="16"/>
      <c r="C298" s="10"/>
      <c r="D298" s="10"/>
      <c r="E298" s="10"/>
      <c r="F298" s="10"/>
      <c r="G298" s="10"/>
      <c r="H298" s="10"/>
    </row>
    <row r="299" spans="1:8" x14ac:dyDescent="0.3">
      <c r="A299" s="10"/>
      <c r="B299" s="16"/>
      <c r="C299" s="10"/>
      <c r="D299" s="10"/>
      <c r="E299" s="10"/>
      <c r="F299" s="10"/>
      <c r="G299" s="10"/>
      <c r="H299" s="10"/>
    </row>
    <row r="300" spans="1:8" x14ac:dyDescent="0.3">
      <c r="A300" s="10"/>
      <c r="B300" s="16"/>
      <c r="C300" s="10"/>
      <c r="D300" s="10"/>
      <c r="E300" s="10"/>
      <c r="F300" s="10"/>
      <c r="G300" s="10"/>
      <c r="H300" s="10"/>
    </row>
    <row r="301" spans="1:8" x14ac:dyDescent="0.3">
      <c r="A301" s="10"/>
      <c r="B301" s="16"/>
      <c r="C301" s="10"/>
      <c r="D301" s="10"/>
      <c r="E301" s="10"/>
      <c r="F301" s="10"/>
      <c r="G301" s="10"/>
      <c r="H301" s="10"/>
    </row>
    <row r="302" spans="1:8" x14ac:dyDescent="0.3">
      <c r="A302" s="10"/>
      <c r="B302" s="16"/>
      <c r="C302" s="10"/>
      <c r="D302" s="10"/>
      <c r="E302" s="10"/>
      <c r="F302" s="10"/>
      <c r="G302" s="10"/>
      <c r="H302" s="10"/>
    </row>
    <row r="303" spans="1:8" x14ac:dyDescent="0.3">
      <c r="A303" s="10"/>
      <c r="B303" s="16"/>
      <c r="C303" s="10"/>
      <c r="D303" s="10"/>
      <c r="E303" s="10"/>
      <c r="F303" s="10"/>
      <c r="G303" s="10"/>
      <c r="H303" s="10"/>
    </row>
    <row r="304" spans="1:8" x14ac:dyDescent="0.3">
      <c r="A304" s="10"/>
      <c r="B304" s="16"/>
      <c r="C304" s="10"/>
      <c r="D304" s="10"/>
      <c r="E304" s="10"/>
      <c r="F304" s="10"/>
      <c r="G304" s="10"/>
      <c r="H304" s="10"/>
    </row>
    <row r="305" spans="1:8" x14ac:dyDescent="0.3">
      <c r="A305" s="10"/>
      <c r="B305" s="16"/>
      <c r="C305" s="10"/>
      <c r="D305" s="10"/>
      <c r="E305" s="10"/>
      <c r="F305" s="10"/>
      <c r="G305" s="10"/>
      <c r="H305" s="10"/>
    </row>
    <row r="306" spans="1:8" x14ac:dyDescent="0.3">
      <c r="A306" s="10"/>
      <c r="B306" s="16"/>
      <c r="C306" s="10"/>
      <c r="D306" s="10"/>
      <c r="E306" s="10"/>
      <c r="F306" s="10"/>
      <c r="G306" s="10"/>
      <c r="H306" s="10"/>
    </row>
    <row r="307" spans="1:8" x14ac:dyDescent="0.3">
      <c r="A307" s="10"/>
      <c r="B307" s="16"/>
      <c r="C307" s="10"/>
      <c r="D307" s="10"/>
      <c r="E307" s="10"/>
      <c r="F307" s="10"/>
      <c r="G307" s="10"/>
      <c r="H307" s="10"/>
    </row>
    <row r="308" spans="1:8" x14ac:dyDescent="0.3">
      <c r="A308" s="10"/>
      <c r="B308" s="16"/>
      <c r="C308" s="10"/>
      <c r="D308" s="10"/>
      <c r="E308" s="10"/>
      <c r="F308" s="10"/>
      <c r="G308" s="10"/>
      <c r="H308" s="10"/>
    </row>
    <row r="309" spans="1:8" x14ac:dyDescent="0.3">
      <c r="A309" s="10"/>
      <c r="B309" s="16"/>
      <c r="C309" s="10"/>
      <c r="D309" s="10"/>
      <c r="E309" s="10"/>
      <c r="F309" s="10"/>
      <c r="G309" s="10"/>
      <c r="H309" s="10"/>
    </row>
    <row r="310" spans="1:8" x14ac:dyDescent="0.3">
      <c r="A310" s="10"/>
      <c r="B310" s="16"/>
      <c r="C310" s="10"/>
      <c r="D310" s="10"/>
      <c r="E310" s="10"/>
      <c r="F310" s="10"/>
      <c r="G310" s="10"/>
      <c r="H310" s="10"/>
    </row>
    <row r="311" spans="1:8" x14ac:dyDescent="0.3">
      <c r="A311" s="10"/>
      <c r="B311" s="16"/>
      <c r="C311" s="10"/>
      <c r="D311" s="10"/>
      <c r="E311" s="10"/>
      <c r="F311" s="10"/>
      <c r="G311" s="10"/>
      <c r="H311" s="10"/>
    </row>
    <row r="312" spans="1:8" x14ac:dyDescent="0.3">
      <c r="A312" s="10"/>
      <c r="B312" s="16"/>
      <c r="C312" s="10"/>
      <c r="D312" s="10"/>
      <c r="E312" s="10"/>
      <c r="F312" s="10"/>
      <c r="G312" s="10"/>
      <c r="H312" s="10"/>
    </row>
    <row r="313" spans="1:8" x14ac:dyDescent="0.3">
      <c r="A313" s="10"/>
      <c r="B313" s="16"/>
      <c r="C313" s="10"/>
      <c r="D313" s="10"/>
      <c r="E313" s="10"/>
      <c r="F313" s="10"/>
      <c r="G313" s="10"/>
      <c r="H313" s="10"/>
    </row>
    <row r="314" spans="1:8" x14ac:dyDescent="0.3">
      <c r="A314" s="10"/>
      <c r="B314" s="16"/>
      <c r="C314" s="10"/>
      <c r="D314" s="10"/>
      <c r="E314" s="10"/>
      <c r="F314" s="10"/>
      <c r="G314" s="10"/>
      <c r="H314" s="10"/>
    </row>
    <row r="315" spans="1:8" x14ac:dyDescent="0.3">
      <c r="A315" s="10"/>
      <c r="B315" s="16"/>
      <c r="C315" s="10"/>
      <c r="D315" s="10"/>
      <c r="E315" s="10"/>
      <c r="F315" s="10"/>
      <c r="G315" s="10"/>
      <c r="H315" s="10"/>
    </row>
    <row r="316" spans="1:8" x14ac:dyDescent="0.3">
      <c r="A316" s="10"/>
      <c r="B316" s="16"/>
      <c r="C316" s="10"/>
      <c r="D316" s="10"/>
      <c r="E316" s="10"/>
      <c r="F316" s="10"/>
      <c r="G316" s="10"/>
      <c r="H316" s="10"/>
    </row>
    <row r="317" spans="1:8" x14ac:dyDescent="0.3">
      <c r="A317" s="10"/>
      <c r="B317" s="16"/>
      <c r="C317" s="10"/>
      <c r="D317" s="10"/>
      <c r="E317" s="10"/>
      <c r="F317" s="10"/>
      <c r="G317" s="10"/>
      <c r="H317" s="10"/>
    </row>
    <row r="318" spans="1:8" x14ac:dyDescent="0.3">
      <c r="A318" s="10"/>
      <c r="B318" s="16"/>
      <c r="C318" s="10"/>
      <c r="D318" s="10"/>
      <c r="E318" s="10"/>
      <c r="F318" s="10"/>
      <c r="G318" s="10"/>
      <c r="H318" s="10"/>
    </row>
    <row r="319" spans="1:8" x14ac:dyDescent="0.3">
      <c r="A319" s="10"/>
      <c r="B319" s="16"/>
      <c r="C319" s="10"/>
      <c r="D319" s="10"/>
      <c r="E319" s="10"/>
      <c r="F319" s="10"/>
      <c r="G319" s="10"/>
      <c r="H319" s="10"/>
    </row>
    <row r="320" spans="1:8" x14ac:dyDescent="0.3">
      <c r="A320" s="10"/>
      <c r="B320" s="16"/>
      <c r="C320" s="10"/>
      <c r="D320" s="10"/>
      <c r="E320" s="10"/>
      <c r="F320" s="10"/>
      <c r="G320" s="10"/>
      <c r="H320" s="10"/>
    </row>
    <row r="321" spans="1:8" x14ac:dyDescent="0.3">
      <c r="A321" s="10"/>
      <c r="B321" s="16"/>
      <c r="C321" s="10"/>
      <c r="D321" s="10"/>
      <c r="E321" s="10"/>
      <c r="F321" s="10"/>
      <c r="G321" s="10"/>
      <c r="H321" s="10"/>
    </row>
    <row r="322" spans="1:8" x14ac:dyDescent="0.3">
      <c r="A322" s="10"/>
      <c r="B322" s="16"/>
      <c r="C322" s="10"/>
      <c r="D322" s="10"/>
      <c r="E322" s="10"/>
      <c r="F322" s="10"/>
      <c r="G322" s="10"/>
      <c r="H322" s="10"/>
    </row>
    <row r="323" spans="1:8" x14ac:dyDescent="0.3">
      <c r="A323" s="10"/>
      <c r="B323" s="16"/>
      <c r="C323" s="10"/>
      <c r="D323" s="10"/>
      <c r="E323" s="10"/>
      <c r="F323" s="10"/>
      <c r="G323" s="10"/>
      <c r="H323" s="10"/>
    </row>
    <row r="324" spans="1:8" x14ac:dyDescent="0.3">
      <c r="A324" s="10"/>
      <c r="B324" s="16"/>
      <c r="C324" s="10"/>
      <c r="D324" s="10"/>
      <c r="E324" s="10"/>
      <c r="F324" s="10"/>
      <c r="G324" s="10"/>
      <c r="H324" s="10"/>
    </row>
    <row r="325" spans="1:8" x14ac:dyDescent="0.3">
      <c r="A325" s="10"/>
      <c r="B325" s="16"/>
      <c r="C325" s="10"/>
      <c r="D325" s="10"/>
      <c r="E325" s="10"/>
      <c r="F325" s="10"/>
      <c r="G325" s="10"/>
      <c r="H325" s="10"/>
    </row>
    <row r="326" spans="1:8" x14ac:dyDescent="0.3">
      <c r="A326" s="10"/>
      <c r="B326" s="16"/>
      <c r="C326" s="10"/>
      <c r="D326" s="10"/>
      <c r="E326" s="10"/>
      <c r="F326" s="10"/>
      <c r="G326" s="10"/>
      <c r="H326" s="10"/>
    </row>
    <row r="327" spans="1:8" x14ac:dyDescent="0.3">
      <c r="A327" s="10"/>
      <c r="B327" s="16"/>
      <c r="C327" s="10"/>
      <c r="D327" s="10"/>
      <c r="E327" s="10"/>
      <c r="F327" s="10"/>
      <c r="G327" s="10"/>
      <c r="H327" s="10"/>
    </row>
    <row r="328" spans="1:8" x14ac:dyDescent="0.3">
      <c r="A328" s="10"/>
      <c r="B328" s="16"/>
      <c r="C328" s="10"/>
      <c r="D328" s="10"/>
      <c r="E328" s="10"/>
      <c r="F328" s="10"/>
      <c r="G328" s="10"/>
      <c r="H328" s="10"/>
    </row>
    <row r="329" spans="1:8" x14ac:dyDescent="0.3">
      <c r="A329" s="10"/>
      <c r="B329" s="16"/>
      <c r="C329" s="10"/>
      <c r="D329" s="10"/>
      <c r="E329" s="10"/>
      <c r="F329" s="10"/>
      <c r="G329" s="10"/>
      <c r="H329" s="10"/>
    </row>
    <row r="330" spans="1:8" x14ac:dyDescent="0.3">
      <c r="A330" s="10"/>
      <c r="B330" s="16"/>
      <c r="C330" s="10"/>
      <c r="D330" s="10"/>
      <c r="E330" s="10"/>
      <c r="F330" s="10"/>
      <c r="G330" s="10"/>
      <c r="H330" s="10"/>
    </row>
    <row r="331" spans="1:8" x14ac:dyDescent="0.3">
      <c r="A331" s="10"/>
      <c r="B331" s="16"/>
      <c r="C331" s="10"/>
      <c r="D331" s="10"/>
      <c r="E331" s="10"/>
      <c r="F331" s="10"/>
      <c r="G331" s="10"/>
      <c r="H331" s="10"/>
    </row>
    <row r="332" spans="1:8" x14ac:dyDescent="0.3">
      <c r="A332" s="10"/>
      <c r="B332" s="16"/>
      <c r="C332" s="10"/>
      <c r="D332" s="10"/>
      <c r="E332" s="10"/>
      <c r="F332" s="10"/>
      <c r="G332" s="10"/>
      <c r="H332" s="10"/>
    </row>
    <row r="333" spans="1:8" x14ac:dyDescent="0.3">
      <c r="A333" s="10"/>
      <c r="B333" s="16"/>
      <c r="C333" s="10"/>
      <c r="D333" s="10"/>
      <c r="E333" s="10"/>
      <c r="F333" s="10"/>
      <c r="G333" s="10"/>
      <c r="H333" s="10"/>
    </row>
    <row r="334" spans="1:8" x14ac:dyDescent="0.3">
      <c r="A334" s="10"/>
      <c r="B334" s="16"/>
      <c r="C334" s="10"/>
      <c r="D334" s="10"/>
      <c r="E334" s="10"/>
      <c r="F334" s="10"/>
      <c r="G334" s="10"/>
      <c r="H334" s="10"/>
    </row>
    <row r="335" spans="1:8" x14ac:dyDescent="0.3">
      <c r="A335" s="10"/>
      <c r="B335" s="16"/>
      <c r="C335" s="10"/>
      <c r="D335" s="10"/>
      <c r="E335" s="10"/>
      <c r="F335" s="10"/>
      <c r="G335" s="10"/>
      <c r="H335" s="10"/>
    </row>
    <row r="336" spans="1:8" x14ac:dyDescent="0.3">
      <c r="A336" s="10"/>
      <c r="B336" s="16"/>
      <c r="C336" s="10"/>
      <c r="D336" s="10"/>
      <c r="E336" s="10"/>
      <c r="F336" s="10"/>
      <c r="G336" s="10"/>
      <c r="H336" s="10"/>
    </row>
    <row r="337" spans="1:8" x14ac:dyDescent="0.3">
      <c r="A337" s="10"/>
      <c r="B337" s="16"/>
      <c r="C337" s="10"/>
      <c r="D337" s="10"/>
      <c r="E337" s="10"/>
      <c r="F337" s="10"/>
      <c r="G337" s="10"/>
      <c r="H337" s="10"/>
    </row>
    <row r="338" spans="1:8" x14ac:dyDescent="0.3">
      <c r="A338" s="10"/>
      <c r="B338" s="16"/>
      <c r="C338" s="10"/>
      <c r="D338" s="10"/>
      <c r="E338" s="10"/>
      <c r="F338" s="10"/>
      <c r="G338" s="10"/>
      <c r="H338" s="10"/>
    </row>
    <row r="339" spans="1:8" x14ac:dyDescent="0.3">
      <c r="A339" s="10"/>
      <c r="B339" s="16"/>
      <c r="C339" s="10"/>
      <c r="D339" s="10"/>
      <c r="E339" s="10"/>
      <c r="F339" s="10"/>
      <c r="G339" s="10"/>
      <c r="H339" s="10"/>
    </row>
    <row r="340" spans="1:8" x14ac:dyDescent="0.3">
      <c r="A340" s="10"/>
      <c r="B340" s="16"/>
      <c r="C340" s="10"/>
      <c r="D340" s="10"/>
      <c r="E340" s="10"/>
      <c r="F340" s="10"/>
      <c r="G340" s="10"/>
      <c r="H340" s="10"/>
    </row>
    <row r="341" spans="1:8" x14ac:dyDescent="0.3">
      <c r="A341" s="10"/>
      <c r="B341" s="16"/>
      <c r="C341" s="10"/>
      <c r="D341" s="10"/>
      <c r="E341" s="10"/>
      <c r="F341" s="10"/>
      <c r="G341" s="10"/>
      <c r="H341" s="10"/>
    </row>
    <row r="342" spans="1:8" x14ac:dyDescent="0.3">
      <c r="A342" s="10"/>
      <c r="B342" s="16"/>
      <c r="C342" s="10"/>
      <c r="D342" s="10"/>
      <c r="E342" s="10"/>
      <c r="F342" s="10"/>
      <c r="G342" s="10"/>
      <c r="H342" s="10"/>
    </row>
    <row r="343" spans="1:8" x14ac:dyDescent="0.3">
      <c r="A343" s="10"/>
      <c r="B343" s="16"/>
      <c r="C343" s="10"/>
      <c r="D343" s="10"/>
      <c r="E343" s="10"/>
      <c r="F343" s="10"/>
      <c r="G343" s="10"/>
      <c r="H343" s="10"/>
    </row>
    <row r="344" spans="1:8" x14ac:dyDescent="0.3">
      <c r="A344" s="10"/>
      <c r="B344" s="16"/>
      <c r="C344" s="10"/>
      <c r="D344" s="10"/>
      <c r="E344" s="10"/>
      <c r="F344" s="10"/>
      <c r="G344" s="10"/>
      <c r="H344" s="10"/>
    </row>
    <row r="345" spans="1:8" x14ac:dyDescent="0.3">
      <c r="A345" s="10"/>
      <c r="B345" s="16"/>
      <c r="C345" s="10"/>
      <c r="D345" s="10"/>
      <c r="E345" s="10"/>
      <c r="F345" s="10"/>
      <c r="G345" s="10"/>
      <c r="H345" s="10"/>
    </row>
    <row r="346" spans="1:8" x14ac:dyDescent="0.3">
      <c r="A346" s="10"/>
      <c r="B346" s="16"/>
      <c r="C346" s="10"/>
      <c r="D346" s="10"/>
      <c r="E346" s="10"/>
      <c r="F346" s="10"/>
      <c r="G346" s="10"/>
      <c r="H346" s="10"/>
    </row>
    <row r="347" spans="1:8" x14ac:dyDescent="0.3">
      <c r="A347" s="10"/>
      <c r="B347" s="16"/>
      <c r="C347" s="10"/>
      <c r="D347" s="10"/>
      <c r="E347" s="10"/>
      <c r="F347" s="10"/>
      <c r="G347" s="10"/>
      <c r="H347" s="10"/>
    </row>
    <row r="348" spans="1:8" x14ac:dyDescent="0.3">
      <c r="A348" s="10"/>
      <c r="B348" s="16"/>
      <c r="C348" s="10"/>
      <c r="D348" s="10"/>
      <c r="E348" s="10"/>
      <c r="F348" s="10"/>
      <c r="G348" s="10"/>
      <c r="H348" s="10"/>
    </row>
    <row r="349" spans="1:8" x14ac:dyDescent="0.3">
      <c r="A349" s="10"/>
      <c r="B349" s="16"/>
      <c r="C349" s="10"/>
      <c r="D349" s="10"/>
      <c r="E349" s="10"/>
      <c r="F349" s="10"/>
      <c r="G349" s="10"/>
      <c r="H349" s="10"/>
    </row>
    <row r="350" spans="1:8" x14ac:dyDescent="0.3">
      <c r="A350" s="10"/>
      <c r="B350" s="16"/>
      <c r="C350" s="10"/>
      <c r="D350" s="10"/>
      <c r="E350" s="10"/>
      <c r="F350" s="10"/>
      <c r="G350" s="10"/>
      <c r="H350" s="10"/>
    </row>
    <row r="351" spans="1:8" x14ac:dyDescent="0.3">
      <c r="A351" s="10"/>
      <c r="B351" s="16"/>
      <c r="C351" s="10"/>
      <c r="D351" s="10"/>
      <c r="E351" s="10"/>
      <c r="F351" s="10"/>
      <c r="G351" s="10"/>
      <c r="H351" s="10"/>
    </row>
    <row r="352" spans="1:8" x14ac:dyDescent="0.3">
      <c r="A352" s="10"/>
      <c r="B352" s="16"/>
      <c r="C352" s="10"/>
      <c r="D352" s="10"/>
      <c r="E352" s="10"/>
      <c r="F352" s="10"/>
      <c r="G352" s="10"/>
      <c r="H352" s="10"/>
    </row>
    <row r="353" spans="1:8" x14ac:dyDescent="0.3">
      <c r="A353" s="10"/>
      <c r="B353" s="16"/>
      <c r="C353" s="10"/>
      <c r="D353" s="10"/>
      <c r="E353" s="10"/>
      <c r="F353" s="10"/>
      <c r="G353" s="10"/>
      <c r="H353" s="10"/>
    </row>
    <row r="354" spans="1:8" x14ac:dyDescent="0.3">
      <c r="A354" s="10"/>
      <c r="B354" s="16"/>
      <c r="C354" s="10"/>
      <c r="D354" s="10"/>
      <c r="E354" s="10"/>
      <c r="F354" s="10"/>
      <c r="G354" s="10"/>
      <c r="H354" s="10"/>
    </row>
    <row r="355" spans="1:8" x14ac:dyDescent="0.3">
      <c r="A355" s="10"/>
      <c r="B355" s="16"/>
      <c r="C355" s="10"/>
      <c r="D355" s="10"/>
      <c r="E355" s="10"/>
      <c r="F355" s="10"/>
      <c r="G355" s="10"/>
      <c r="H355" s="10"/>
    </row>
    <row r="356" spans="1:8" x14ac:dyDescent="0.3">
      <c r="A356" s="10"/>
      <c r="B356" s="16"/>
      <c r="C356" s="10"/>
      <c r="D356" s="10"/>
      <c r="E356" s="10"/>
      <c r="F356" s="10"/>
      <c r="G356" s="10"/>
      <c r="H356" s="10"/>
    </row>
    <row r="357" spans="1:8" x14ac:dyDescent="0.3">
      <c r="A357" s="10"/>
      <c r="B357" s="16"/>
      <c r="C357" s="10"/>
      <c r="D357" s="10"/>
      <c r="E357" s="10"/>
      <c r="F357" s="10"/>
      <c r="G357" s="10"/>
      <c r="H357" s="10"/>
    </row>
    <row r="358" spans="1:8" x14ac:dyDescent="0.3">
      <c r="A358" s="10"/>
      <c r="B358" s="16"/>
      <c r="C358" s="10"/>
      <c r="D358" s="10"/>
      <c r="E358" s="10"/>
      <c r="F358" s="10"/>
      <c r="G358" s="10"/>
      <c r="H358" s="10"/>
    </row>
    <row r="359" spans="1:8" x14ac:dyDescent="0.3">
      <c r="A359" s="10"/>
      <c r="B359" s="16"/>
      <c r="C359" s="10"/>
      <c r="D359" s="10"/>
      <c r="E359" s="10"/>
      <c r="F359" s="10"/>
      <c r="G359" s="10"/>
      <c r="H359" s="10"/>
    </row>
    <row r="360" spans="1:8" x14ac:dyDescent="0.3">
      <c r="A360" s="10"/>
      <c r="B360" s="16"/>
      <c r="C360" s="10"/>
      <c r="D360" s="10"/>
      <c r="E360" s="10"/>
      <c r="F360" s="10"/>
      <c r="G360" s="10"/>
      <c r="H360" s="10"/>
    </row>
    <row r="361" spans="1:8" x14ac:dyDescent="0.3">
      <c r="A361" s="10"/>
      <c r="B361" s="16"/>
      <c r="C361" s="10"/>
      <c r="D361" s="10"/>
      <c r="E361" s="10"/>
      <c r="F361" s="10"/>
      <c r="G361" s="10"/>
      <c r="H361" s="10"/>
    </row>
    <row r="362" spans="1:8" x14ac:dyDescent="0.3">
      <c r="A362" s="10"/>
      <c r="B362" s="16"/>
      <c r="C362" s="10"/>
      <c r="D362" s="10"/>
      <c r="E362" s="10"/>
      <c r="F362" s="10"/>
      <c r="G362" s="10"/>
      <c r="H362" s="10"/>
    </row>
    <row r="363" spans="1:8" x14ac:dyDescent="0.3">
      <c r="A363" s="10"/>
      <c r="B363" s="16"/>
      <c r="C363" s="10"/>
      <c r="D363" s="10"/>
      <c r="E363" s="10"/>
      <c r="F363" s="10"/>
      <c r="G363" s="10"/>
      <c r="H363" s="10"/>
    </row>
    <row r="364" spans="1:8" x14ac:dyDescent="0.3">
      <c r="A364" s="10"/>
      <c r="B364" s="16"/>
      <c r="C364" s="10"/>
      <c r="D364" s="10"/>
      <c r="E364" s="10"/>
      <c r="F364" s="10"/>
      <c r="G364" s="10"/>
      <c r="H364" s="10"/>
    </row>
    <row r="365" spans="1:8" x14ac:dyDescent="0.3">
      <c r="A365" s="10"/>
      <c r="B365" s="16"/>
      <c r="C365" s="10"/>
      <c r="D365" s="10"/>
      <c r="E365" s="10"/>
      <c r="F365" s="10"/>
      <c r="G365" s="10"/>
      <c r="H365" s="10"/>
    </row>
    <row r="366" spans="1:8" x14ac:dyDescent="0.3">
      <c r="A366" s="10"/>
      <c r="B366" s="16"/>
      <c r="C366" s="10"/>
      <c r="D366" s="10"/>
      <c r="E366" s="10"/>
      <c r="F366" s="10"/>
      <c r="G366" s="10"/>
      <c r="H366" s="10"/>
    </row>
    <row r="367" spans="1:8" x14ac:dyDescent="0.3">
      <c r="A367" s="10"/>
      <c r="B367" s="16"/>
      <c r="C367" s="10"/>
      <c r="D367" s="10"/>
      <c r="E367" s="10"/>
      <c r="F367" s="10"/>
      <c r="G367" s="10"/>
      <c r="H367" s="10"/>
    </row>
    <row r="368" spans="1:8" x14ac:dyDescent="0.3">
      <c r="A368" s="10"/>
      <c r="B368" s="16"/>
      <c r="C368" s="10"/>
      <c r="D368" s="10"/>
      <c r="E368" s="10"/>
      <c r="F368" s="10"/>
      <c r="G368" s="10"/>
      <c r="H368" s="10"/>
    </row>
    <row r="369" spans="1:8" x14ac:dyDescent="0.3">
      <c r="A369" s="10"/>
      <c r="B369" s="16"/>
      <c r="C369" s="10"/>
      <c r="D369" s="10"/>
      <c r="E369" s="10"/>
      <c r="F369" s="10"/>
      <c r="G369" s="10"/>
      <c r="H369" s="10"/>
    </row>
    <row r="370" spans="1:8" x14ac:dyDescent="0.3">
      <c r="A370" s="10"/>
      <c r="B370" s="16"/>
      <c r="C370" s="10"/>
      <c r="D370" s="10"/>
      <c r="E370" s="10"/>
      <c r="F370" s="10"/>
      <c r="G370" s="10"/>
      <c r="H370" s="10"/>
    </row>
    <row r="371" spans="1:8" x14ac:dyDescent="0.3">
      <c r="A371" s="10"/>
      <c r="B371" s="16"/>
      <c r="C371" s="10"/>
      <c r="D371" s="10"/>
      <c r="E371" s="10"/>
      <c r="F371" s="10"/>
      <c r="G371" s="10"/>
      <c r="H371" s="10"/>
    </row>
    <row r="372" spans="1:8" x14ac:dyDescent="0.3">
      <c r="A372" s="10"/>
      <c r="B372" s="16"/>
      <c r="C372" s="10"/>
      <c r="D372" s="10"/>
      <c r="E372" s="10"/>
      <c r="F372" s="10"/>
      <c r="G372" s="10"/>
      <c r="H372" s="10"/>
    </row>
    <row r="373" spans="1:8" x14ac:dyDescent="0.3">
      <c r="A373" s="10"/>
      <c r="B373" s="16"/>
      <c r="C373" s="10"/>
      <c r="D373" s="10"/>
      <c r="E373" s="10"/>
      <c r="F373" s="10"/>
      <c r="G373" s="10"/>
      <c r="H373" s="10"/>
    </row>
    <row r="374" spans="1:8" x14ac:dyDescent="0.3">
      <c r="A374" s="10"/>
      <c r="B374" s="16"/>
      <c r="C374" s="10"/>
      <c r="D374" s="10"/>
      <c r="E374" s="10"/>
      <c r="F374" s="10"/>
      <c r="G374" s="10"/>
      <c r="H374" s="10"/>
    </row>
    <row r="375" spans="1:8" x14ac:dyDescent="0.3">
      <c r="A375" s="10"/>
      <c r="B375" s="16"/>
      <c r="C375" s="10"/>
      <c r="D375" s="10"/>
      <c r="E375" s="10"/>
      <c r="F375" s="10"/>
      <c r="G375" s="10"/>
      <c r="H375" s="10"/>
    </row>
    <row r="376" spans="1:8" x14ac:dyDescent="0.3">
      <c r="A376" s="10"/>
      <c r="B376" s="16"/>
      <c r="C376" s="10"/>
      <c r="D376" s="10"/>
      <c r="E376" s="10"/>
      <c r="F376" s="10"/>
      <c r="G376" s="10"/>
      <c r="H376" s="10"/>
    </row>
    <row r="377" spans="1:8" x14ac:dyDescent="0.3">
      <c r="A377" s="10"/>
      <c r="B377" s="16"/>
      <c r="C377" s="10"/>
      <c r="D377" s="10"/>
      <c r="E377" s="10"/>
      <c r="F377" s="10"/>
      <c r="G377" s="10"/>
      <c r="H377" s="10"/>
    </row>
    <row r="378" spans="1:8" x14ac:dyDescent="0.3">
      <c r="A378" s="10"/>
      <c r="B378" s="16"/>
      <c r="C378" s="10"/>
      <c r="D378" s="10"/>
      <c r="E378" s="10"/>
      <c r="F378" s="10"/>
      <c r="G378" s="10"/>
      <c r="H378" s="10"/>
    </row>
    <row r="379" spans="1:8" x14ac:dyDescent="0.3">
      <c r="A379" s="10"/>
      <c r="B379" s="16"/>
      <c r="C379" s="10"/>
      <c r="D379" s="10"/>
      <c r="E379" s="10"/>
      <c r="F379" s="10"/>
      <c r="G379" s="10"/>
      <c r="H379" s="10"/>
    </row>
    <row r="380" spans="1:8" x14ac:dyDescent="0.3">
      <c r="A380" s="10"/>
      <c r="B380" s="16"/>
      <c r="C380" s="10"/>
      <c r="D380" s="10"/>
      <c r="E380" s="10"/>
      <c r="F380" s="10"/>
      <c r="G380" s="10"/>
      <c r="H380" s="10"/>
    </row>
    <row r="381" spans="1:8" x14ac:dyDescent="0.3">
      <c r="A381" s="10"/>
      <c r="B381" s="16"/>
      <c r="C381" s="10"/>
      <c r="D381" s="10"/>
      <c r="E381" s="10"/>
      <c r="F381" s="10"/>
      <c r="G381" s="10"/>
      <c r="H381" s="10"/>
    </row>
    <row r="382" spans="1:8" x14ac:dyDescent="0.3">
      <c r="A382" s="10"/>
      <c r="B382" s="16"/>
      <c r="C382" s="10"/>
      <c r="D382" s="10"/>
      <c r="E382" s="10"/>
      <c r="F382" s="10"/>
      <c r="G382" s="10"/>
      <c r="H382" s="10"/>
    </row>
    <row r="383" spans="1:8" x14ac:dyDescent="0.3">
      <c r="A383" s="10"/>
      <c r="B383" s="16"/>
      <c r="C383" s="10"/>
      <c r="D383" s="10"/>
      <c r="E383" s="10"/>
      <c r="F383" s="10"/>
      <c r="G383" s="10"/>
      <c r="H383" s="10"/>
    </row>
    <row r="384" spans="1:8" x14ac:dyDescent="0.3">
      <c r="A384" s="10"/>
      <c r="B384" s="16"/>
      <c r="C384" s="10"/>
      <c r="D384" s="10"/>
      <c r="E384" s="10"/>
      <c r="F384" s="10"/>
      <c r="G384" s="10"/>
      <c r="H384" s="10"/>
    </row>
    <row r="385" spans="1:8" x14ac:dyDescent="0.3">
      <c r="A385" s="10"/>
      <c r="B385" s="16"/>
      <c r="C385" s="10"/>
      <c r="D385" s="10"/>
      <c r="E385" s="10"/>
      <c r="F385" s="10"/>
      <c r="G385" s="10"/>
      <c r="H385" s="10"/>
    </row>
    <row r="386" spans="1:8" x14ac:dyDescent="0.3">
      <c r="A386" s="10"/>
      <c r="B386" s="16"/>
      <c r="C386" s="10"/>
      <c r="D386" s="10"/>
      <c r="E386" s="10"/>
      <c r="F386" s="10"/>
      <c r="G386" s="10"/>
      <c r="H386" s="10"/>
    </row>
    <row r="387" spans="1:8" x14ac:dyDescent="0.3">
      <c r="A387" s="10"/>
      <c r="B387" s="16"/>
      <c r="C387" s="10"/>
      <c r="D387" s="10"/>
      <c r="E387" s="10"/>
      <c r="F387" s="10"/>
      <c r="G387" s="10"/>
      <c r="H387" s="10"/>
    </row>
    <row r="388" spans="1:8" x14ac:dyDescent="0.3">
      <c r="A388" s="10"/>
      <c r="B388" s="16"/>
      <c r="C388" s="10"/>
      <c r="D388" s="10"/>
      <c r="E388" s="10"/>
      <c r="F388" s="10"/>
      <c r="G388" s="10"/>
      <c r="H388" s="10"/>
    </row>
    <row r="389" spans="1:8" x14ac:dyDescent="0.3">
      <c r="A389" s="10"/>
      <c r="B389" s="16"/>
      <c r="C389" s="10"/>
      <c r="D389" s="10"/>
      <c r="E389" s="10"/>
      <c r="F389" s="10"/>
      <c r="G389" s="10"/>
      <c r="H389" s="10"/>
    </row>
    <row r="390" spans="1:8" x14ac:dyDescent="0.3">
      <c r="A390" s="10"/>
      <c r="B390" s="16"/>
      <c r="C390" s="10"/>
      <c r="D390" s="10"/>
      <c r="E390" s="10"/>
      <c r="F390" s="10"/>
      <c r="G390" s="10"/>
      <c r="H390" s="10"/>
    </row>
    <row r="391" spans="1:8" x14ac:dyDescent="0.3">
      <c r="A391" s="10"/>
      <c r="B391" s="16"/>
      <c r="C391" s="10"/>
      <c r="D391" s="10"/>
      <c r="E391" s="10"/>
      <c r="F391" s="10"/>
      <c r="G391" s="10"/>
      <c r="H391" s="10"/>
    </row>
    <row r="392" spans="1:8" x14ac:dyDescent="0.3">
      <c r="A392" s="10"/>
      <c r="B392" s="16"/>
      <c r="C392" s="10"/>
      <c r="D392" s="10"/>
      <c r="E392" s="10"/>
      <c r="F392" s="10"/>
      <c r="G392" s="10"/>
      <c r="H392" s="10"/>
    </row>
    <row r="393" spans="1:8" x14ac:dyDescent="0.3">
      <c r="A393" s="10"/>
      <c r="B393" s="16"/>
      <c r="C393" s="10"/>
      <c r="D393" s="10"/>
      <c r="E393" s="10"/>
      <c r="F393" s="10"/>
      <c r="G393" s="10"/>
      <c r="H393" s="10"/>
    </row>
    <row r="394" spans="1:8" x14ac:dyDescent="0.3">
      <c r="A394" s="10"/>
      <c r="B394" s="16"/>
      <c r="C394" s="10"/>
      <c r="D394" s="10"/>
      <c r="E394" s="10"/>
      <c r="F394" s="10"/>
      <c r="G394" s="10"/>
      <c r="H394" s="10"/>
    </row>
    <row r="395" spans="1:8" x14ac:dyDescent="0.3">
      <c r="A395" s="10"/>
      <c r="B395" s="16"/>
      <c r="C395" s="10"/>
      <c r="D395" s="10"/>
      <c r="E395" s="10"/>
      <c r="F395" s="10"/>
      <c r="G395" s="10"/>
      <c r="H395" s="10"/>
    </row>
    <row r="396" spans="1:8" x14ac:dyDescent="0.3">
      <c r="A396" s="10"/>
      <c r="B396" s="16"/>
      <c r="C396" s="10"/>
      <c r="D396" s="10"/>
      <c r="E396" s="10"/>
      <c r="F396" s="10"/>
      <c r="G396" s="10"/>
      <c r="H396" s="10"/>
    </row>
    <row r="397" spans="1:8" x14ac:dyDescent="0.3">
      <c r="A397" s="10"/>
      <c r="B397" s="16"/>
      <c r="C397" s="10"/>
      <c r="D397" s="10"/>
      <c r="E397" s="10"/>
      <c r="F397" s="10"/>
      <c r="G397" s="10"/>
      <c r="H397" s="10"/>
    </row>
    <row r="398" spans="1:8" x14ac:dyDescent="0.3">
      <c r="A398" s="10"/>
      <c r="B398" s="16"/>
      <c r="C398" s="10"/>
      <c r="D398" s="10"/>
      <c r="E398" s="10"/>
      <c r="F398" s="10"/>
      <c r="G398" s="10"/>
      <c r="H398" s="10"/>
    </row>
    <row r="399" spans="1:8" x14ac:dyDescent="0.3">
      <c r="A399" s="10"/>
      <c r="B399" s="16"/>
      <c r="C399" s="10"/>
      <c r="D399" s="10"/>
      <c r="E399" s="10"/>
      <c r="F399" s="10"/>
      <c r="G399" s="10"/>
      <c r="H399" s="10"/>
    </row>
    <row r="400" spans="1:8" x14ac:dyDescent="0.3">
      <c r="A400" s="10"/>
      <c r="B400" s="16"/>
      <c r="C400" s="10"/>
      <c r="D400" s="10"/>
      <c r="E400" s="10"/>
      <c r="F400" s="10"/>
      <c r="G400" s="10"/>
      <c r="H400" s="10"/>
    </row>
    <row r="401" spans="1:8" x14ac:dyDescent="0.3">
      <c r="A401" s="10"/>
      <c r="B401" s="16"/>
      <c r="C401" s="10"/>
      <c r="D401" s="10"/>
      <c r="E401" s="10"/>
      <c r="F401" s="10"/>
      <c r="G401" s="10"/>
      <c r="H401" s="10"/>
    </row>
    <row r="402" spans="1:8" x14ac:dyDescent="0.3">
      <c r="A402" s="10"/>
      <c r="B402" s="16"/>
      <c r="C402" s="10"/>
      <c r="D402" s="10"/>
      <c r="E402" s="10"/>
      <c r="F402" s="10"/>
      <c r="G402" s="10"/>
      <c r="H402" s="10"/>
    </row>
    <row r="403" spans="1:8" x14ac:dyDescent="0.3">
      <c r="A403" s="10"/>
      <c r="B403" s="16"/>
      <c r="C403" s="10"/>
      <c r="D403" s="10"/>
      <c r="E403" s="10"/>
      <c r="F403" s="10"/>
      <c r="G403" s="10"/>
      <c r="H403" s="10"/>
    </row>
    <row r="404" spans="1:8" x14ac:dyDescent="0.3">
      <c r="A404" s="10"/>
      <c r="B404" s="16"/>
      <c r="C404" s="10"/>
      <c r="D404" s="10"/>
      <c r="E404" s="10"/>
      <c r="F404" s="10"/>
      <c r="G404" s="10"/>
      <c r="H404" s="10"/>
    </row>
    <row r="405" spans="1:8" x14ac:dyDescent="0.3">
      <c r="A405" s="10"/>
      <c r="B405" s="16"/>
      <c r="C405" s="10"/>
      <c r="D405" s="10"/>
      <c r="E405" s="10"/>
      <c r="F405" s="10"/>
      <c r="G405" s="10"/>
      <c r="H405" s="10"/>
    </row>
    <row r="406" spans="1:8" x14ac:dyDescent="0.3">
      <c r="A406" s="10"/>
      <c r="B406" s="16"/>
      <c r="C406" s="10"/>
      <c r="D406" s="10"/>
      <c r="E406" s="10"/>
      <c r="F406" s="10"/>
      <c r="G406" s="10"/>
      <c r="H406" s="10"/>
    </row>
    <row r="407" spans="1:8" x14ac:dyDescent="0.3">
      <c r="A407" s="10"/>
      <c r="B407" s="16"/>
      <c r="C407" s="10"/>
      <c r="D407" s="10"/>
      <c r="E407" s="10"/>
      <c r="F407" s="10"/>
      <c r="G407" s="10"/>
      <c r="H407" s="10"/>
    </row>
    <row r="408" spans="1:8" x14ac:dyDescent="0.3">
      <c r="A408" s="10"/>
      <c r="B408" s="16"/>
      <c r="C408" s="10"/>
      <c r="D408" s="10"/>
      <c r="E408" s="10"/>
      <c r="F408" s="10"/>
      <c r="G408" s="10"/>
      <c r="H408" s="10"/>
    </row>
    <row r="409" spans="1:8" x14ac:dyDescent="0.3">
      <c r="A409" s="10"/>
      <c r="B409" s="16"/>
      <c r="C409" s="10"/>
      <c r="D409" s="10"/>
      <c r="E409" s="10"/>
      <c r="F409" s="10"/>
      <c r="G409" s="10"/>
      <c r="H409" s="10"/>
    </row>
    <row r="410" spans="1:8" x14ac:dyDescent="0.3">
      <c r="A410" s="10"/>
      <c r="B410" s="16"/>
      <c r="C410" s="10"/>
      <c r="D410" s="10"/>
      <c r="E410" s="10"/>
      <c r="F410" s="10"/>
      <c r="G410" s="10"/>
      <c r="H410" s="10"/>
    </row>
    <row r="411" spans="1:8" x14ac:dyDescent="0.3">
      <c r="A411" s="10"/>
      <c r="B411" s="16"/>
      <c r="C411" s="10"/>
      <c r="D411" s="10"/>
      <c r="E411" s="10"/>
      <c r="F411" s="10"/>
      <c r="G411" s="10"/>
      <c r="H411" s="10"/>
    </row>
    <row r="412" spans="1:8" x14ac:dyDescent="0.3">
      <c r="A412" s="10"/>
      <c r="B412" s="16"/>
      <c r="C412" s="10"/>
      <c r="D412" s="10"/>
      <c r="E412" s="10"/>
      <c r="F412" s="10"/>
      <c r="G412" s="10"/>
      <c r="H412" s="10"/>
    </row>
    <row r="413" spans="1:8" x14ac:dyDescent="0.3">
      <c r="A413" s="10"/>
      <c r="B413" s="16"/>
      <c r="C413" s="10"/>
      <c r="D413" s="10"/>
      <c r="E413" s="10"/>
      <c r="F413" s="10"/>
      <c r="G413" s="10"/>
      <c r="H413" s="10"/>
    </row>
    <row r="414" spans="1:8" x14ac:dyDescent="0.3">
      <c r="A414" s="10"/>
      <c r="B414" s="16"/>
      <c r="C414" s="10"/>
      <c r="D414" s="10"/>
      <c r="E414" s="10"/>
      <c r="F414" s="10"/>
      <c r="G414" s="10"/>
      <c r="H414" s="10"/>
    </row>
    <row r="415" spans="1:8" x14ac:dyDescent="0.3">
      <c r="A415" s="10"/>
      <c r="B415" s="16"/>
      <c r="C415" s="10"/>
      <c r="D415" s="10"/>
      <c r="E415" s="10"/>
      <c r="F415" s="10"/>
      <c r="G415" s="10"/>
      <c r="H415" s="10"/>
    </row>
    <row r="416" spans="1:8" x14ac:dyDescent="0.3">
      <c r="A416" s="10"/>
      <c r="B416" s="16"/>
      <c r="C416" s="10"/>
      <c r="D416" s="10"/>
      <c r="E416" s="10"/>
      <c r="F416" s="10"/>
      <c r="G416" s="10"/>
      <c r="H416" s="10"/>
    </row>
    <row r="417" spans="1:8" x14ac:dyDescent="0.3">
      <c r="A417" s="10"/>
      <c r="B417" s="16"/>
      <c r="C417" s="10"/>
      <c r="D417" s="10"/>
      <c r="E417" s="10"/>
      <c r="F417" s="10"/>
      <c r="G417" s="10"/>
      <c r="H417" s="10"/>
    </row>
    <row r="418" spans="1:8" x14ac:dyDescent="0.3">
      <c r="A418" s="10"/>
      <c r="B418" s="16"/>
      <c r="C418" s="10"/>
      <c r="D418" s="10"/>
      <c r="E418" s="10"/>
      <c r="F418" s="10"/>
      <c r="G418" s="10"/>
      <c r="H418" s="10"/>
    </row>
    <row r="419" spans="1:8" x14ac:dyDescent="0.3">
      <c r="A419" s="10"/>
      <c r="B419" s="16"/>
      <c r="C419" s="10"/>
      <c r="D419" s="10"/>
      <c r="E419" s="10"/>
      <c r="F419" s="10"/>
      <c r="G419" s="10"/>
      <c r="H419" s="10"/>
    </row>
    <row r="420" spans="1:8" x14ac:dyDescent="0.3">
      <c r="A420" s="10"/>
      <c r="B420" s="16"/>
      <c r="C420" s="10"/>
      <c r="D420" s="10"/>
      <c r="E420" s="10"/>
      <c r="F420" s="10"/>
      <c r="G420" s="10"/>
      <c r="H420" s="10"/>
    </row>
    <row r="421" spans="1:8" x14ac:dyDescent="0.3">
      <c r="A421" s="10"/>
      <c r="B421" s="16"/>
      <c r="C421" s="10"/>
      <c r="D421" s="10"/>
      <c r="E421" s="10"/>
      <c r="F421" s="10"/>
      <c r="G421" s="10"/>
      <c r="H421" s="10"/>
    </row>
    <row r="422" spans="1:8" x14ac:dyDescent="0.3">
      <c r="A422" s="10"/>
      <c r="B422" s="16"/>
      <c r="C422" s="10"/>
      <c r="D422" s="10"/>
      <c r="E422" s="10"/>
      <c r="F422" s="10"/>
      <c r="G422" s="10"/>
      <c r="H422" s="10"/>
    </row>
    <row r="423" spans="1:8" x14ac:dyDescent="0.3">
      <c r="A423" s="10"/>
      <c r="B423" s="16"/>
      <c r="C423" s="10"/>
      <c r="D423" s="10"/>
      <c r="E423" s="10"/>
      <c r="F423" s="10"/>
      <c r="G423" s="10"/>
      <c r="H423" s="10"/>
    </row>
    <row r="424" spans="1:8" x14ac:dyDescent="0.3">
      <c r="A424" s="10"/>
      <c r="B424" s="16"/>
      <c r="C424" s="10"/>
      <c r="D424" s="10"/>
      <c r="E424" s="10"/>
      <c r="F424" s="10"/>
      <c r="G424" s="10"/>
      <c r="H424" s="10"/>
    </row>
    <row r="425" spans="1:8" x14ac:dyDescent="0.3">
      <c r="A425" s="10"/>
      <c r="B425" s="16"/>
      <c r="C425" s="10"/>
      <c r="D425" s="10"/>
      <c r="E425" s="10"/>
      <c r="F425" s="10"/>
      <c r="G425" s="10"/>
      <c r="H425" s="10"/>
    </row>
    <row r="426" spans="1:8" x14ac:dyDescent="0.3">
      <c r="A426" s="10"/>
      <c r="B426" s="16"/>
      <c r="C426" s="10"/>
      <c r="D426" s="10"/>
      <c r="E426" s="10"/>
      <c r="F426" s="10"/>
      <c r="G426" s="10"/>
      <c r="H426" s="10"/>
    </row>
    <row r="427" spans="1:8" x14ac:dyDescent="0.3">
      <c r="A427" s="10"/>
      <c r="B427" s="16"/>
      <c r="C427" s="10"/>
      <c r="D427" s="10"/>
      <c r="E427" s="10"/>
      <c r="F427" s="10"/>
      <c r="G427" s="10"/>
      <c r="H427" s="10"/>
    </row>
    <row r="428" spans="1:8" x14ac:dyDescent="0.3">
      <c r="A428" s="10"/>
      <c r="B428" s="16"/>
      <c r="C428" s="10"/>
      <c r="D428" s="10"/>
      <c r="E428" s="10"/>
      <c r="F428" s="10"/>
      <c r="G428" s="10"/>
      <c r="H428" s="10"/>
    </row>
    <row r="429" spans="1:8" x14ac:dyDescent="0.3">
      <c r="A429" s="10"/>
      <c r="B429" s="16"/>
      <c r="C429" s="10"/>
      <c r="D429" s="10"/>
      <c r="E429" s="10"/>
      <c r="F429" s="10"/>
      <c r="G429" s="10"/>
      <c r="H429" s="10"/>
    </row>
    <row r="430" spans="1:8" x14ac:dyDescent="0.3">
      <c r="A430" s="10"/>
      <c r="B430" s="16"/>
      <c r="C430" s="10"/>
      <c r="D430" s="10"/>
      <c r="E430" s="10"/>
      <c r="F430" s="10"/>
      <c r="G430" s="10"/>
      <c r="H430" s="10"/>
    </row>
    <row r="431" spans="1:8" x14ac:dyDescent="0.3">
      <c r="A431" s="10"/>
      <c r="B431" s="16"/>
      <c r="C431" s="10"/>
      <c r="D431" s="10"/>
      <c r="E431" s="10"/>
      <c r="F431" s="10"/>
      <c r="G431" s="10"/>
      <c r="H431" s="10"/>
    </row>
    <row r="432" spans="1:8" x14ac:dyDescent="0.3">
      <c r="A432" s="10"/>
      <c r="B432" s="16"/>
      <c r="C432" s="10"/>
      <c r="D432" s="10"/>
      <c r="E432" s="10"/>
      <c r="F432" s="10"/>
      <c r="G432" s="10"/>
      <c r="H432" s="10"/>
    </row>
    <row r="433" spans="1:8" x14ac:dyDescent="0.3">
      <c r="A433" s="10"/>
      <c r="B433" s="16"/>
      <c r="C433" s="10"/>
      <c r="D433" s="10"/>
      <c r="E433" s="10"/>
      <c r="F433" s="10"/>
      <c r="G433" s="10"/>
      <c r="H433" s="10"/>
    </row>
    <row r="434" spans="1:8" x14ac:dyDescent="0.3">
      <c r="A434" s="10"/>
      <c r="B434" s="16"/>
      <c r="C434" s="10"/>
      <c r="D434" s="10"/>
      <c r="E434" s="10"/>
      <c r="F434" s="10"/>
      <c r="G434" s="10"/>
      <c r="H434" s="10"/>
    </row>
    <row r="435" spans="1:8" x14ac:dyDescent="0.3">
      <c r="A435" s="10"/>
      <c r="B435" s="16"/>
      <c r="C435" s="10"/>
      <c r="D435" s="10"/>
      <c r="E435" s="10"/>
      <c r="F435" s="10"/>
      <c r="G435" s="10"/>
      <c r="H435" s="10"/>
    </row>
    <row r="436" spans="1:8" x14ac:dyDescent="0.3">
      <c r="A436" s="10"/>
      <c r="B436" s="16"/>
      <c r="C436" s="10"/>
      <c r="D436" s="10"/>
      <c r="E436" s="10"/>
      <c r="F436" s="10"/>
      <c r="G436" s="10"/>
      <c r="H436" s="10"/>
    </row>
    <row r="437" spans="1:8" x14ac:dyDescent="0.3">
      <c r="A437" s="10"/>
      <c r="B437" s="16"/>
      <c r="C437" s="10"/>
      <c r="D437" s="10"/>
      <c r="E437" s="10"/>
      <c r="F437" s="10"/>
      <c r="G437" s="10"/>
      <c r="H437" s="10"/>
    </row>
    <row r="438" spans="1:8" x14ac:dyDescent="0.3">
      <c r="A438" s="10"/>
      <c r="B438" s="16"/>
      <c r="C438" s="10"/>
      <c r="D438" s="10"/>
      <c r="E438" s="10"/>
      <c r="F438" s="10"/>
      <c r="G438" s="10"/>
      <c r="H438" s="10"/>
    </row>
    <row r="439" spans="1:8" x14ac:dyDescent="0.3">
      <c r="A439" s="10"/>
      <c r="B439" s="16"/>
      <c r="C439" s="10"/>
      <c r="D439" s="10"/>
      <c r="E439" s="10"/>
      <c r="F439" s="10"/>
      <c r="G439" s="10"/>
      <c r="H439" s="10"/>
    </row>
    <row r="440" spans="1:8" x14ac:dyDescent="0.3">
      <c r="A440" s="10"/>
      <c r="B440" s="16"/>
      <c r="C440" s="10"/>
      <c r="D440" s="10"/>
      <c r="E440" s="10"/>
      <c r="F440" s="10"/>
      <c r="G440" s="10"/>
      <c r="H440" s="10"/>
    </row>
    <row r="441" spans="1:8" x14ac:dyDescent="0.3">
      <c r="A441" s="10"/>
      <c r="B441" s="16"/>
      <c r="C441" s="10"/>
      <c r="D441" s="10"/>
      <c r="E441" s="10"/>
      <c r="F441" s="10"/>
      <c r="G441" s="10"/>
      <c r="H441" s="10"/>
    </row>
    <row r="442" spans="1:8" x14ac:dyDescent="0.3">
      <c r="A442" s="10"/>
      <c r="B442" s="16"/>
      <c r="C442" s="10"/>
      <c r="D442" s="10"/>
      <c r="E442" s="10"/>
      <c r="F442" s="10"/>
      <c r="G442" s="10"/>
      <c r="H442" s="10"/>
    </row>
    <row r="443" spans="1:8" x14ac:dyDescent="0.3">
      <c r="A443" s="10"/>
      <c r="B443" s="16"/>
      <c r="C443" s="10"/>
      <c r="D443" s="10"/>
      <c r="E443" s="10"/>
      <c r="F443" s="10"/>
      <c r="G443" s="10"/>
      <c r="H443" s="10"/>
    </row>
    <row r="444" spans="1:8" x14ac:dyDescent="0.3">
      <c r="A444" s="10"/>
      <c r="B444" s="16"/>
      <c r="C444" s="10"/>
      <c r="D444" s="10"/>
      <c r="E444" s="10"/>
      <c r="F444" s="10"/>
      <c r="G444" s="10"/>
      <c r="H444" s="10"/>
    </row>
    <row r="445" spans="1:8" x14ac:dyDescent="0.3">
      <c r="A445" s="10"/>
      <c r="B445" s="16"/>
      <c r="C445" s="10"/>
      <c r="D445" s="10"/>
      <c r="E445" s="10"/>
      <c r="F445" s="10"/>
      <c r="G445" s="10"/>
      <c r="H445" s="10"/>
    </row>
    <row r="446" spans="1:8" x14ac:dyDescent="0.3">
      <c r="A446" s="10"/>
      <c r="B446" s="16"/>
      <c r="C446" s="10"/>
      <c r="D446" s="10"/>
      <c r="E446" s="10"/>
      <c r="F446" s="10"/>
      <c r="G446" s="10"/>
      <c r="H446" s="10"/>
    </row>
    <row r="447" spans="1:8" x14ac:dyDescent="0.3">
      <c r="A447" s="10"/>
      <c r="B447" s="16"/>
      <c r="C447" s="10"/>
      <c r="D447" s="10"/>
      <c r="E447" s="10"/>
      <c r="F447" s="10"/>
      <c r="G447" s="10"/>
      <c r="H447" s="10"/>
    </row>
    <row r="448" spans="1:8" x14ac:dyDescent="0.3">
      <c r="A448" s="10"/>
      <c r="B448" s="16"/>
      <c r="C448" s="10"/>
      <c r="D448" s="10"/>
      <c r="E448" s="10"/>
      <c r="F448" s="10"/>
      <c r="G448" s="10"/>
      <c r="H448" s="10"/>
    </row>
    <row r="449" spans="1:8" x14ac:dyDescent="0.3">
      <c r="A449" s="10"/>
      <c r="B449" s="16"/>
      <c r="C449" s="10"/>
      <c r="D449" s="10"/>
      <c r="E449" s="10"/>
      <c r="F449" s="10"/>
      <c r="G449" s="10"/>
      <c r="H449" s="10"/>
    </row>
    <row r="450" spans="1:8" x14ac:dyDescent="0.3">
      <c r="A450" s="10"/>
      <c r="B450" s="16"/>
      <c r="C450" s="10"/>
      <c r="D450" s="10"/>
      <c r="E450" s="10"/>
      <c r="F450" s="10"/>
      <c r="G450" s="10"/>
      <c r="H450" s="10"/>
    </row>
    <row r="451" spans="1:8" x14ac:dyDescent="0.3">
      <c r="A451" s="10"/>
      <c r="B451" s="16"/>
      <c r="C451" s="10"/>
      <c r="D451" s="10"/>
      <c r="E451" s="10"/>
      <c r="F451" s="10"/>
      <c r="G451" s="10"/>
      <c r="H451" s="10"/>
    </row>
    <row r="452" spans="1:8" x14ac:dyDescent="0.3">
      <c r="A452" s="10"/>
      <c r="B452" s="16"/>
      <c r="C452" s="10"/>
      <c r="D452" s="10"/>
      <c r="E452" s="10"/>
      <c r="F452" s="10"/>
      <c r="G452" s="10"/>
      <c r="H452" s="10"/>
    </row>
    <row r="453" spans="1:8" x14ac:dyDescent="0.3">
      <c r="A453" s="10"/>
      <c r="B453" s="16"/>
      <c r="C453" s="10"/>
      <c r="D453" s="10"/>
      <c r="E453" s="10"/>
      <c r="F453" s="10"/>
      <c r="G453" s="10"/>
      <c r="H453" s="10"/>
    </row>
    <row r="454" spans="1:8" x14ac:dyDescent="0.3">
      <c r="A454" s="10"/>
      <c r="B454" s="16"/>
      <c r="C454" s="10"/>
      <c r="D454" s="10"/>
      <c r="E454" s="10"/>
      <c r="F454" s="10"/>
      <c r="G454" s="10"/>
      <c r="H454" s="10"/>
    </row>
    <row r="455" spans="1:8" x14ac:dyDescent="0.3">
      <c r="A455" s="10"/>
      <c r="B455" s="16"/>
      <c r="C455" s="10"/>
      <c r="D455" s="10"/>
      <c r="E455" s="10"/>
      <c r="F455" s="10"/>
      <c r="G455" s="10"/>
      <c r="H455" s="10"/>
    </row>
    <row r="456" spans="1:8" x14ac:dyDescent="0.3">
      <c r="A456" s="10"/>
      <c r="B456" s="16"/>
      <c r="C456" s="10"/>
      <c r="D456" s="10"/>
      <c r="E456" s="10"/>
      <c r="F456" s="10"/>
      <c r="G456" s="10"/>
      <c r="H456" s="10"/>
    </row>
    <row r="457" spans="1:8" x14ac:dyDescent="0.3">
      <c r="A457" s="10"/>
      <c r="B457" s="16"/>
      <c r="C457" s="10"/>
      <c r="D457" s="10"/>
      <c r="E457" s="10"/>
      <c r="F457" s="10"/>
      <c r="G457" s="10"/>
      <c r="H457" s="10"/>
    </row>
    <row r="458" spans="1:8" x14ac:dyDescent="0.3">
      <c r="A458" s="10"/>
      <c r="B458" s="16"/>
      <c r="C458" s="10"/>
      <c r="D458" s="10"/>
      <c r="E458" s="10"/>
      <c r="F458" s="10"/>
      <c r="G458" s="10"/>
      <c r="H458" s="10"/>
    </row>
    <row r="459" spans="1:8" x14ac:dyDescent="0.3">
      <c r="A459" s="10"/>
      <c r="B459" s="16"/>
      <c r="C459" s="10"/>
      <c r="D459" s="10"/>
      <c r="E459" s="10"/>
      <c r="F459" s="10"/>
      <c r="G459" s="10"/>
      <c r="H459" s="10"/>
    </row>
    <row r="460" spans="1:8" x14ac:dyDescent="0.3">
      <c r="A460" s="10"/>
      <c r="B460" s="16"/>
      <c r="C460" s="10"/>
      <c r="D460" s="10"/>
      <c r="E460" s="10"/>
      <c r="F460" s="10"/>
      <c r="G460" s="10"/>
      <c r="H460" s="10"/>
    </row>
    <row r="461" spans="1:8" x14ac:dyDescent="0.3">
      <c r="A461" s="10"/>
      <c r="B461" s="16"/>
      <c r="C461" s="10"/>
      <c r="D461" s="10"/>
      <c r="E461" s="10"/>
      <c r="F461" s="10"/>
      <c r="G461" s="10"/>
      <c r="H461" s="10"/>
    </row>
    <row r="462" spans="1:8" x14ac:dyDescent="0.3">
      <c r="A462" s="10"/>
      <c r="B462" s="16"/>
      <c r="C462" s="10"/>
      <c r="D462" s="10"/>
      <c r="E462" s="10"/>
      <c r="F462" s="10"/>
      <c r="G462" s="10"/>
      <c r="H462" s="10"/>
    </row>
    <row r="463" spans="1:8" x14ac:dyDescent="0.3">
      <c r="A463" s="10"/>
      <c r="B463" s="16"/>
      <c r="C463" s="10"/>
      <c r="D463" s="10"/>
      <c r="E463" s="10"/>
      <c r="F463" s="10"/>
      <c r="G463" s="10"/>
      <c r="H463" s="10"/>
    </row>
    <row r="464" spans="1:8" x14ac:dyDescent="0.3">
      <c r="A464" s="10"/>
      <c r="B464" s="16"/>
      <c r="C464" s="10"/>
      <c r="D464" s="10"/>
      <c r="E464" s="10"/>
      <c r="F464" s="10"/>
      <c r="G464" s="10"/>
      <c r="H464" s="10"/>
    </row>
    <row r="465" spans="1:8" x14ac:dyDescent="0.3">
      <c r="A465" s="10"/>
      <c r="B465" s="16"/>
      <c r="C465" s="10"/>
      <c r="D465" s="10"/>
      <c r="E465" s="10"/>
      <c r="F465" s="10"/>
      <c r="G465" s="10"/>
      <c r="H465" s="10"/>
    </row>
    <row r="466" spans="1:8" x14ac:dyDescent="0.3">
      <c r="A466" s="10"/>
      <c r="B466" s="16"/>
      <c r="C466" s="10"/>
      <c r="D466" s="10"/>
      <c r="E466" s="10"/>
      <c r="F466" s="10"/>
      <c r="G466" s="10"/>
      <c r="H466" s="10"/>
    </row>
    <row r="467" spans="1:8" x14ac:dyDescent="0.3">
      <c r="A467" s="10"/>
      <c r="B467" s="16"/>
      <c r="C467" s="10"/>
      <c r="D467" s="10"/>
      <c r="E467" s="10"/>
      <c r="F467" s="10"/>
      <c r="G467" s="10"/>
      <c r="H467" s="10"/>
    </row>
    <row r="468" spans="1:8" x14ac:dyDescent="0.3">
      <c r="A468" s="10"/>
      <c r="B468" s="16"/>
      <c r="C468" s="10"/>
      <c r="D468" s="10"/>
      <c r="E468" s="10"/>
      <c r="F468" s="10"/>
      <c r="G468" s="10"/>
      <c r="H468" s="10"/>
    </row>
    <row r="469" spans="1:8" x14ac:dyDescent="0.3">
      <c r="A469" s="10"/>
      <c r="B469" s="16"/>
      <c r="C469" s="10"/>
      <c r="D469" s="10"/>
      <c r="E469" s="10"/>
      <c r="F469" s="10"/>
      <c r="G469" s="10"/>
      <c r="H469" s="10"/>
    </row>
    <row r="470" spans="1:8" x14ac:dyDescent="0.3">
      <c r="A470" s="10"/>
      <c r="B470" s="16"/>
      <c r="C470" s="10"/>
      <c r="D470" s="10"/>
      <c r="E470" s="10"/>
      <c r="F470" s="10"/>
      <c r="G470" s="10"/>
      <c r="H470" s="10"/>
    </row>
    <row r="471" spans="1:8" x14ac:dyDescent="0.3">
      <c r="A471" s="10"/>
      <c r="B471" s="16"/>
      <c r="C471" s="10"/>
      <c r="D471" s="10"/>
      <c r="E471" s="10"/>
      <c r="F471" s="10"/>
      <c r="G471" s="10"/>
      <c r="H471" s="10"/>
    </row>
    <row r="472" spans="1:8" x14ac:dyDescent="0.3">
      <c r="A472" s="10"/>
      <c r="B472" s="16"/>
      <c r="C472" s="10"/>
      <c r="D472" s="10"/>
      <c r="E472" s="10"/>
      <c r="F472" s="10"/>
      <c r="G472" s="10"/>
      <c r="H472" s="10"/>
    </row>
    <row r="473" spans="1:8" x14ac:dyDescent="0.3">
      <c r="A473" s="10"/>
      <c r="B473" s="16"/>
      <c r="C473" s="10"/>
      <c r="D473" s="10"/>
      <c r="E473" s="10"/>
      <c r="F473" s="10"/>
      <c r="G473" s="10"/>
      <c r="H473" s="10"/>
    </row>
    <row r="474" spans="1:8" x14ac:dyDescent="0.3">
      <c r="A474" s="10"/>
      <c r="B474" s="16"/>
      <c r="C474" s="10"/>
      <c r="D474" s="10"/>
      <c r="E474" s="10"/>
      <c r="F474" s="10"/>
      <c r="G474" s="10"/>
      <c r="H474" s="10"/>
    </row>
    <row r="475" spans="1:8" x14ac:dyDescent="0.3">
      <c r="A475" s="10"/>
      <c r="B475" s="16"/>
      <c r="C475" s="10"/>
      <c r="D475" s="10"/>
      <c r="E475" s="10"/>
      <c r="F475" s="10"/>
      <c r="G475" s="10"/>
      <c r="H475" s="10"/>
    </row>
    <row r="476" spans="1:8" x14ac:dyDescent="0.3">
      <c r="A476" s="10"/>
      <c r="B476" s="16"/>
      <c r="C476" s="10"/>
      <c r="D476" s="10"/>
      <c r="E476" s="10"/>
      <c r="F476" s="10"/>
      <c r="G476" s="10"/>
      <c r="H476" s="10"/>
    </row>
    <row r="477" spans="1:8" x14ac:dyDescent="0.3">
      <c r="A477" s="10"/>
      <c r="B477" s="16"/>
      <c r="C477" s="10"/>
      <c r="D477" s="10"/>
      <c r="E477" s="10"/>
      <c r="F477" s="10"/>
      <c r="G477" s="10"/>
      <c r="H477" s="10"/>
    </row>
    <row r="478" spans="1:8" x14ac:dyDescent="0.3">
      <c r="A478" s="10"/>
      <c r="B478" s="16"/>
      <c r="C478" s="10"/>
      <c r="D478" s="10"/>
      <c r="E478" s="10"/>
      <c r="F478" s="10"/>
      <c r="G478" s="10"/>
      <c r="H478" s="10"/>
    </row>
    <row r="479" spans="1:8" x14ac:dyDescent="0.3">
      <c r="A479" s="10"/>
      <c r="B479" s="16"/>
      <c r="C479" s="10"/>
      <c r="D479" s="10"/>
      <c r="E479" s="10"/>
      <c r="F479" s="10"/>
      <c r="G479" s="10"/>
      <c r="H479" s="10"/>
    </row>
    <row r="480" spans="1:8" x14ac:dyDescent="0.3">
      <c r="A480" s="10"/>
      <c r="B480" s="16"/>
      <c r="C480" s="10"/>
      <c r="D480" s="10"/>
      <c r="E480" s="10"/>
      <c r="F480" s="10"/>
      <c r="G480" s="10"/>
      <c r="H480" s="10"/>
    </row>
    <row r="481" spans="1:8" x14ac:dyDescent="0.3">
      <c r="A481" s="10"/>
      <c r="B481" s="16"/>
      <c r="C481" s="10"/>
      <c r="D481" s="10"/>
      <c r="E481" s="10"/>
      <c r="F481" s="10"/>
      <c r="G481" s="10"/>
      <c r="H481" s="10"/>
    </row>
    <row r="482" spans="1:8" x14ac:dyDescent="0.3">
      <c r="A482" s="10"/>
      <c r="B482" s="16"/>
      <c r="C482" s="10"/>
      <c r="D482" s="10"/>
      <c r="E482" s="10"/>
      <c r="F482" s="10"/>
      <c r="G482" s="10"/>
      <c r="H482" s="10"/>
    </row>
    <row r="483" spans="1:8" x14ac:dyDescent="0.3">
      <c r="A483" s="10"/>
      <c r="B483" s="16"/>
      <c r="C483" s="10"/>
      <c r="D483" s="10"/>
      <c r="E483" s="10"/>
      <c r="F483" s="10"/>
      <c r="G483" s="10"/>
      <c r="H483" s="10"/>
    </row>
    <row r="484" spans="1:8" x14ac:dyDescent="0.3">
      <c r="A484" s="10"/>
      <c r="B484" s="16"/>
      <c r="C484" s="10"/>
      <c r="D484" s="10"/>
      <c r="E484" s="10"/>
      <c r="F484" s="10"/>
      <c r="G484" s="10"/>
      <c r="H484" s="10"/>
    </row>
    <row r="485" spans="1:8" x14ac:dyDescent="0.3">
      <c r="A485" s="10"/>
      <c r="B485" s="16"/>
      <c r="C485" s="10"/>
      <c r="D485" s="10"/>
      <c r="E485" s="10"/>
      <c r="F485" s="10"/>
      <c r="G485" s="10"/>
      <c r="H485" s="10"/>
    </row>
    <row r="486" spans="1:8" x14ac:dyDescent="0.3">
      <c r="A486" s="10"/>
      <c r="B486" s="16"/>
      <c r="C486" s="10"/>
      <c r="D486" s="10"/>
      <c r="E486" s="10"/>
      <c r="F486" s="10"/>
      <c r="G486" s="10"/>
      <c r="H486" s="10"/>
    </row>
    <row r="487" spans="1:8" x14ac:dyDescent="0.3">
      <c r="A487" s="10"/>
      <c r="B487" s="16"/>
      <c r="C487" s="10"/>
      <c r="D487" s="10"/>
      <c r="E487" s="10"/>
      <c r="F487" s="10"/>
      <c r="G487" s="10"/>
      <c r="H487" s="10"/>
    </row>
    <row r="488" spans="1:8" x14ac:dyDescent="0.3">
      <c r="A488" s="10"/>
      <c r="B488" s="16"/>
      <c r="C488" s="10"/>
      <c r="D488" s="10"/>
      <c r="E488" s="10"/>
      <c r="F488" s="10"/>
      <c r="G488" s="10"/>
      <c r="H488" s="10"/>
    </row>
    <row r="489" spans="1:8" x14ac:dyDescent="0.3">
      <c r="A489" s="10"/>
      <c r="B489" s="16"/>
      <c r="C489" s="10"/>
      <c r="D489" s="10"/>
      <c r="E489" s="10"/>
      <c r="F489" s="10"/>
      <c r="G489" s="10"/>
      <c r="H489" s="10"/>
    </row>
    <row r="490" spans="1:8" x14ac:dyDescent="0.3">
      <c r="A490" s="10"/>
      <c r="B490" s="16"/>
      <c r="C490" s="10"/>
      <c r="D490" s="10"/>
      <c r="E490" s="10"/>
      <c r="F490" s="10"/>
      <c r="G490" s="10"/>
      <c r="H490" s="10"/>
    </row>
    <row r="491" spans="1:8" x14ac:dyDescent="0.3">
      <c r="A491" s="10"/>
      <c r="B491" s="16"/>
      <c r="C491" s="10"/>
      <c r="D491" s="10"/>
      <c r="E491" s="10"/>
      <c r="F491" s="10"/>
      <c r="G491" s="10"/>
      <c r="H491" s="10"/>
    </row>
    <row r="492" spans="1:8" x14ac:dyDescent="0.3">
      <c r="A492" s="10"/>
      <c r="B492" s="16"/>
      <c r="C492" s="10"/>
      <c r="D492" s="10"/>
      <c r="E492" s="10"/>
      <c r="F492" s="10"/>
      <c r="G492" s="10"/>
      <c r="H492" s="10"/>
    </row>
    <row r="493" spans="1:8" x14ac:dyDescent="0.3">
      <c r="A493" s="10"/>
      <c r="B493" s="16"/>
      <c r="C493" s="10"/>
      <c r="D493" s="10"/>
      <c r="E493" s="10"/>
      <c r="F493" s="10"/>
      <c r="G493" s="10"/>
      <c r="H493" s="10"/>
    </row>
    <row r="494" spans="1:8" x14ac:dyDescent="0.3">
      <c r="A494" s="10"/>
      <c r="B494" s="16"/>
      <c r="C494" s="10"/>
      <c r="D494" s="10"/>
      <c r="E494" s="10"/>
      <c r="F494" s="10"/>
      <c r="G494" s="10"/>
      <c r="H494" s="10"/>
    </row>
    <row r="495" spans="1:8" x14ac:dyDescent="0.3">
      <c r="A495" s="10"/>
      <c r="B495" s="16"/>
      <c r="C495" s="10"/>
      <c r="D495" s="10"/>
      <c r="E495" s="10"/>
      <c r="F495" s="10"/>
      <c r="G495" s="10"/>
      <c r="H495" s="10"/>
    </row>
    <row r="496" spans="1:8" x14ac:dyDescent="0.3">
      <c r="A496" s="10"/>
      <c r="B496" s="16"/>
      <c r="C496" s="10"/>
      <c r="D496" s="10"/>
      <c r="E496" s="10"/>
      <c r="F496" s="10"/>
      <c r="G496" s="10"/>
      <c r="H496" s="10"/>
    </row>
    <row r="497" spans="1:8" x14ac:dyDescent="0.3">
      <c r="A497" s="10"/>
      <c r="B497" s="16"/>
      <c r="C497" s="10"/>
      <c r="D497" s="10"/>
      <c r="E497" s="10"/>
      <c r="F497" s="10"/>
      <c r="G497" s="10"/>
      <c r="H497" s="10"/>
    </row>
    <row r="498" spans="1:8" x14ac:dyDescent="0.3">
      <c r="A498" s="10"/>
      <c r="B498" s="16"/>
      <c r="C498" s="10"/>
      <c r="D498" s="10"/>
      <c r="E498" s="10"/>
      <c r="F498" s="10"/>
      <c r="G498" s="10"/>
      <c r="H498" s="10"/>
    </row>
    <row r="499" spans="1:8" x14ac:dyDescent="0.3">
      <c r="A499" s="10"/>
      <c r="B499" s="16"/>
      <c r="C499" s="10"/>
      <c r="D499" s="10"/>
      <c r="E499" s="10"/>
      <c r="F499" s="10"/>
      <c r="G499" s="10"/>
      <c r="H499" s="10"/>
    </row>
    <row r="500" spans="1:8" x14ac:dyDescent="0.3">
      <c r="A500" s="10"/>
      <c r="B500" s="16"/>
      <c r="C500" s="10"/>
      <c r="D500" s="10"/>
      <c r="E500" s="10"/>
      <c r="F500" s="10"/>
      <c r="G500" s="10"/>
      <c r="H500" s="10"/>
    </row>
  </sheetData>
  <autoFilter ref="A1:H500" xr:uid="{00000000-0009-0000-0000-000003000000}"/>
  <dataValidations count="2">
    <dataValidation type="list" allowBlank="1" showErrorMessage="1" errorTitle="Unknown asset tag" error="This tag is not in the Asset Register. Add the asset there first." sqref="C2:C500" xr:uid="{00000000-0002-0000-0300-000000000000}">
      <formula1>lst_AssetTags</formula1>
      <formula2>0</formula2>
    </dataValidation>
    <dataValidation type="list" allowBlank="1" showErrorMessage="1" errorTitle="Not on the list" error="Pick from the dropdown, or add the value on the Lists tab first." sqref="D2:D500" xr:uid="{00000000-0002-0000-0300-000001000000}">
      <formula1>lst_ChangeType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  <pageSetUpPr fitToPage="1"/>
  </sheetPr>
  <dimension ref="A1:J50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1" customWidth="1"/>
    <col min="2" max="2" width="14" customWidth="1"/>
    <col min="3" max="3" width="12" customWidth="1"/>
    <col min="4" max="4" width="16" customWidth="1"/>
    <col min="5" max="6" width="34" customWidth="1"/>
    <col min="7" max="9" width="12" customWidth="1"/>
    <col min="10" max="10" width="30" customWidth="1"/>
  </cols>
  <sheetData>
    <row r="1" spans="1:10" ht="31.5" customHeight="1" x14ac:dyDescent="0.3">
      <c r="A1" s="14" t="s">
        <v>134</v>
      </c>
      <c r="B1" s="14" t="s">
        <v>41</v>
      </c>
      <c r="C1" s="14" t="s">
        <v>135</v>
      </c>
      <c r="D1" s="14" t="s">
        <v>136</v>
      </c>
      <c r="E1" s="14" t="s">
        <v>137</v>
      </c>
      <c r="F1" s="14" t="s">
        <v>138</v>
      </c>
      <c r="G1" s="14" t="s">
        <v>139</v>
      </c>
      <c r="H1" s="14" t="s">
        <v>140</v>
      </c>
      <c r="I1" s="14" t="s">
        <v>46</v>
      </c>
      <c r="J1" s="14" t="s">
        <v>141</v>
      </c>
    </row>
    <row r="2" spans="1:10" x14ac:dyDescent="0.3">
      <c r="A2" s="10" t="s">
        <v>142</v>
      </c>
      <c r="B2" s="10" t="s">
        <v>57</v>
      </c>
      <c r="C2" s="16">
        <v>46296</v>
      </c>
      <c r="D2" s="10" t="s">
        <v>64</v>
      </c>
      <c r="E2" s="10" t="s">
        <v>143</v>
      </c>
      <c r="F2" s="10" t="s">
        <v>144</v>
      </c>
      <c r="G2" s="19">
        <v>0</v>
      </c>
      <c r="H2" s="16">
        <v>46296</v>
      </c>
      <c r="I2" s="10" t="s">
        <v>145</v>
      </c>
      <c r="J2" s="10"/>
    </row>
    <row r="3" spans="1:10" x14ac:dyDescent="0.3">
      <c r="A3" s="10"/>
      <c r="B3" s="10"/>
      <c r="C3" s="16"/>
      <c r="D3" s="10"/>
      <c r="E3" s="10"/>
      <c r="F3" s="10"/>
      <c r="G3" s="19"/>
      <c r="H3" s="16"/>
      <c r="I3" s="10"/>
      <c r="J3" s="10"/>
    </row>
    <row r="4" spans="1:10" x14ac:dyDescent="0.3">
      <c r="A4" s="10"/>
      <c r="B4" s="10"/>
      <c r="C4" s="16"/>
      <c r="D4" s="10"/>
      <c r="E4" s="10"/>
      <c r="F4" s="10"/>
      <c r="G4" s="19"/>
      <c r="H4" s="16"/>
      <c r="I4" s="10"/>
      <c r="J4" s="10"/>
    </row>
    <row r="5" spans="1:10" x14ac:dyDescent="0.3">
      <c r="A5" s="10"/>
      <c r="B5" s="10"/>
      <c r="C5" s="16"/>
      <c r="D5" s="10"/>
      <c r="E5" s="10"/>
      <c r="F5" s="10"/>
      <c r="G5" s="19"/>
      <c r="H5" s="16"/>
      <c r="I5" s="10"/>
      <c r="J5" s="10"/>
    </row>
    <row r="6" spans="1:10" x14ac:dyDescent="0.3">
      <c r="A6" s="10"/>
      <c r="B6" s="10"/>
      <c r="C6" s="16"/>
      <c r="D6" s="10"/>
      <c r="E6" s="10"/>
      <c r="F6" s="10"/>
      <c r="G6" s="19"/>
      <c r="H6" s="16"/>
      <c r="I6" s="10"/>
      <c r="J6" s="10"/>
    </row>
    <row r="7" spans="1:10" x14ac:dyDescent="0.3">
      <c r="A7" s="10"/>
      <c r="B7" s="10"/>
      <c r="C7" s="16"/>
      <c r="D7" s="10"/>
      <c r="E7" s="10"/>
      <c r="F7" s="10"/>
      <c r="G7" s="19"/>
      <c r="H7" s="16"/>
      <c r="I7" s="10"/>
      <c r="J7" s="10"/>
    </row>
    <row r="8" spans="1:10" x14ac:dyDescent="0.3">
      <c r="A8" s="10"/>
      <c r="B8" s="10"/>
      <c r="C8" s="16"/>
      <c r="D8" s="10"/>
      <c r="E8" s="10"/>
      <c r="F8" s="10"/>
      <c r="G8" s="19"/>
      <c r="H8" s="16"/>
      <c r="I8" s="10"/>
      <c r="J8" s="10"/>
    </row>
    <row r="9" spans="1:10" x14ac:dyDescent="0.3">
      <c r="A9" s="10"/>
      <c r="B9" s="10"/>
      <c r="C9" s="16"/>
      <c r="D9" s="10"/>
      <c r="E9" s="10"/>
      <c r="F9" s="10"/>
      <c r="G9" s="19"/>
      <c r="H9" s="16"/>
      <c r="I9" s="10"/>
      <c r="J9" s="10"/>
    </row>
    <row r="10" spans="1:10" x14ac:dyDescent="0.3">
      <c r="A10" s="10"/>
      <c r="B10" s="10"/>
      <c r="C10" s="16"/>
      <c r="D10" s="10"/>
      <c r="E10" s="10"/>
      <c r="F10" s="10"/>
      <c r="G10" s="19"/>
      <c r="H10" s="16"/>
      <c r="I10" s="10"/>
      <c r="J10" s="10"/>
    </row>
    <row r="11" spans="1:10" x14ac:dyDescent="0.3">
      <c r="A11" s="10"/>
      <c r="B11" s="10"/>
      <c r="C11" s="16"/>
      <c r="D11" s="10"/>
      <c r="E11" s="10"/>
      <c r="F11" s="10"/>
      <c r="G11" s="19"/>
      <c r="H11" s="16"/>
      <c r="I11" s="10"/>
      <c r="J11" s="10"/>
    </row>
    <row r="12" spans="1:10" x14ac:dyDescent="0.3">
      <c r="A12" s="10"/>
      <c r="B12" s="10"/>
      <c r="C12" s="16"/>
      <c r="D12" s="10"/>
      <c r="E12" s="10"/>
      <c r="F12" s="10"/>
      <c r="G12" s="19"/>
      <c r="H12" s="16"/>
      <c r="I12" s="10"/>
      <c r="J12" s="10"/>
    </row>
    <row r="13" spans="1:10" x14ac:dyDescent="0.3">
      <c r="A13" s="10"/>
      <c r="B13" s="10"/>
      <c r="C13" s="16"/>
      <c r="D13" s="10"/>
      <c r="E13" s="10"/>
      <c r="F13" s="10"/>
      <c r="G13" s="19"/>
      <c r="H13" s="16"/>
      <c r="I13" s="10"/>
      <c r="J13" s="10"/>
    </row>
    <row r="14" spans="1:10" x14ac:dyDescent="0.3">
      <c r="A14" s="10"/>
      <c r="B14" s="10"/>
      <c r="C14" s="16"/>
      <c r="D14" s="10"/>
      <c r="E14" s="10"/>
      <c r="F14" s="10"/>
      <c r="G14" s="19"/>
      <c r="H14" s="16"/>
      <c r="I14" s="10"/>
      <c r="J14" s="10"/>
    </row>
    <row r="15" spans="1:10" x14ac:dyDescent="0.3">
      <c r="A15" s="10"/>
      <c r="B15" s="10"/>
      <c r="C15" s="16"/>
      <c r="D15" s="10"/>
      <c r="E15" s="10"/>
      <c r="F15" s="10"/>
      <c r="G15" s="19"/>
      <c r="H15" s="16"/>
      <c r="I15" s="10"/>
      <c r="J15" s="10"/>
    </row>
    <row r="16" spans="1:10" x14ac:dyDescent="0.3">
      <c r="A16" s="10"/>
      <c r="B16" s="10"/>
      <c r="C16" s="16"/>
      <c r="D16" s="10"/>
      <c r="E16" s="10"/>
      <c r="F16" s="10"/>
      <c r="G16" s="19"/>
      <c r="H16" s="16"/>
      <c r="I16" s="10"/>
      <c r="J16" s="10"/>
    </row>
    <row r="17" spans="1:10" x14ac:dyDescent="0.3">
      <c r="A17" s="10"/>
      <c r="B17" s="10"/>
      <c r="C17" s="16"/>
      <c r="D17" s="10"/>
      <c r="E17" s="10"/>
      <c r="F17" s="10"/>
      <c r="G17" s="19"/>
      <c r="H17" s="16"/>
      <c r="I17" s="10"/>
      <c r="J17" s="10"/>
    </row>
    <row r="18" spans="1:10" x14ac:dyDescent="0.3">
      <c r="A18" s="10"/>
      <c r="B18" s="10"/>
      <c r="C18" s="16"/>
      <c r="D18" s="10"/>
      <c r="E18" s="10"/>
      <c r="F18" s="10"/>
      <c r="G18" s="19"/>
      <c r="H18" s="16"/>
      <c r="I18" s="10"/>
      <c r="J18" s="10"/>
    </row>
    <row r="19" spans="1:10" x14ac:dyDescent="0.3">
      <c r="A19" s="10"/>
      <c r="B19" s="10"/>
      <c r="C19" s="16"/>
      <c r="D19" s="10"/>
      <c r="E19" s="10"/>
      <c r="F19" s="10"/>
      <c r="G19" s="19"/>
      <c r="H19" s="16"/>
      <c r="I19" s="10"/>
      <c r="J19" s="10"/>
    </row>
    <row r="20" spans="1:10" x14ac:dyDescent="0.3">
      <c r="A20" s="10"/>
      <c r="B20" s="10"/>
      <c r="C20" s="16"/>
      <c r="D20" s="10"/>
      <c r="E20" s="10"/>
      <c r="F20" s="10"/>
      <c r="G20" s="19"/>
      <c r="H20" s="16"/>
      <c r="I20" s="10"/>
      <c r="J20" s="10"/>
    </row>
    <row r="21" spans="1:10" x14ac:dyDescent="0.3">
      <c r="A21" s="10"/>
      <c r="B21" s="10"/>
      <c r="C21" s="16"/>
      <c r="D21" s="10"/>
      <c r="E21" s="10"/>
      <c r="F21" s="10"/>
      <c r="G21" s="19"/>
      <c r="H21" s="16"/>
      <c r="I21" s="10"/>
      <c r="J21" s="10"/>
    </row>
    <row r="22" spans="1:10" x14ac:dyDescent="0.3">
      <c r="A22" s="10"/>
      <c r="B22" s="10"/>
      <c r="C22" s="16"/>
      <c r="D22" s="10"/>
      <c r="E22" s="10"/>
      <c r="F22" s="10"/>
      <c r="G22" s="19"/>
      <c r="H22" s="16"/>
      <c r="I22" s="10"/>
      <c r="J22" s="10"/>
    </row>
    <row r="23" spans="1:10" x14ac:dyDescent="0.3">
      <c r="A23" s="10"/>
      <c r="B23" s="10"/>
      <c r="C23" s="16"/>
      <c r="D23" s="10"/>
      <c r="E23" s="10"/>
      <c r="F23" s="10"/>
      <c r="G23" s="19"/>
      <c r="H23" s="16"/>
      <c r="I23" s="10"/>
      <c r="J23" s="10"/>
    </row>
    <row r="24" spans="1:10" x14ac:dyDescent="0.3">
      <c r="A24" s="10"/>
      <c r="B24" s="10"/>
      <c r="C24" s="16"/>
      <c r="D24" s="10"/>
      <c r="E24" s="10"/>
      <c r="F24" s="10"/>
      <c r="G24" s="19"/>
      <c r="H24" s="16"/>
      <c r="I24" s="10"/>
      <c r="J24" s="10"/>
    </row>
    <row r="25" spans="1:10" x14ac:dyDescent="0.3">
      <c r="A25" s="10"/>
      <c r="B25" s="10"/>
      <c r="C25" s="16"/>
      <c r="D25" s="10"/>
      <c r="E25" s="10"/>
      <c r="F25" s="10"/>
      <c r="G25" s="19"/>
      <c r="H25" s="16"/>
      <c r="I25" s="10"/>
      <c r="J25" s="10"/>
    </row>
    <row r="26" spans="1:10" x14ac:dyDescent="0.3">
      <c r="A26" s="10"/>
      <c r="B26" s="10"/>
      <c r="C26" s="16"/>
      <c r="D26" s="10"/>
      <c r="E26" s="10"/>
      <c r="F26" s="10"/>
      <c r="G26" s="19"/>
      <c r="H26" s="16"/>
      <c r="I26" s="10"/>
      <c r="J26" s="10"/>
    </row>
    <row r="27" spans="1:10" x14ac:dyDescent="0.3">
      <c r="A27" s="10"/>
      <c r="B27" s="10"/>
      <c r="C27" s="16"/>
      <c r="D27" s="10"/>
      <c r="E27" s="10"/>
      <c r="F27" s="10"/>
      <c r="G27" s="19"/>
      <c r="H27" s="16"/>
      <c r="I27" s="10"/>
      <c r="J27" s="10"/>
    </row>
    <row r="28" spans="1:10" x14ac:dyDescent="0.3">
      <c r="A28" s="10"/>
      <c r="B28" s="10"/>
      <c r="C28" s="16"/>
      <c r="D28" s="10"/>
      <c r="E28" s="10"/>
      <c r="F28" s="10"/>
      <c r="G28" s="19"/>
      <c r="H28" s="16"/>
      <c r="I28" s="10"/>
      <c r="J28" s="10"/>
    </row>
    <row r="29" spans="1:10" x14ac:dyDescent="0.3">
      <c r="A29" s="10"/>
      <c r="B29" s="10"/>
      <c r="C29" s="16"/>
      <c r="D29" s="10"/>
      <c r="E29" s="10"/>
      <c r="F29" s="10"/>
      <c r="G29" s="19"/>
      <c r="H29" s="16"/>
      <c r="I29" s="10"/>
      <c r="J29" s="10"/>
    </row>
    <row r="30" spans="1:10" x14ac:dyDescent="0.3">
      <c r="A30" s="10"/>
      <c r="B30" s="10"/>
      <c r="C30" s="16"/>
      <c r="D30" s="10"/>
      <c r="E30" s="10"/>
      <c r="F30" s="10"/>
      <c r="G30" s="19"/>
      <c r="H30" s="16"/>
      <c r="I30" s="10"/>
      <c r="J30" s="10"/>
    </row>
    <row r="31" spans="1:10" x14ac:dyDescent="0.3">
      <c r="A31" s="10"/>
      <c r="B31" s="10"/>
      <c r="C31" s="16"/>
      <c r="D31" s="10"/>
      <c r="E31" s="10"/>
      <c r="F31" s="10"/>
      <c r="G31" s="19"/>
      <c r="H31" s="16"/>
      <c r="I31" s="10"/>
      <c r="J31" s="10"/>
    </row>
    <row r="32" spans="1:10" x14ac:dyDescent="0.3">
      <c r="A32" s="10"/>
      <c r="B32" s="10"/>
      <c r="C32" s="16"/>
      <c r="D32" s="10"/>
      <c r="E32" s="10"/>
      <c r="F32" s="10"/>
      <c r="G32" s="19"/>
      <c r="H32" s="16"/>
      <c r="I32" s="10"/>
      <c r="J32" s="10"/>
    </row>
    <row r="33" spans="1:10" x14ac:dyDescent="0.3">
      <c r="A33" s="10"/>
      <c r="B33" s="10"/>
      <c r="C33" s="16"/>
      <c r="D33" s="10"/>
      <c r="E33" s="10"/>
      <c r="F33" s="10"/>
      <c r="G33" s="19"/>
      <c r="H33" s="16"/>
      <c r="I33" s="10"/>
      <c r="J33" s="10"/>
    </row>
    <row r="34" spans="1:10" x14ac:dyDescent="0.3">
      <c r="A34" s="10"/>
      <c r="B34" s="10"/>
      <c r="C34" s="16"/>
      <c r="D34" s="10"/>
      <c r="E34" s="10"/>
      <c r="F34" s="10"/>
      <c r="G34" s="19"/>
      <c r="H34" s="16"/>
      <c r="I34" s="10"/>
      <c r="J34" s="10"/>
    </row>
    <row r="35" spans="1:10" x14ac:dyDescent="0.3">
      <c r="A35" s="10"/>
      <c r="B35" s="10"/>
      <c r="C35" s="16"/>
      <c r="D35" s="10"/>
      <c r="E35" s="10"/>
      <c r="F35" s="10"/>
      <c r="G35" s="19"/>
      <c r="H35" s="16"/>
      <c r="I35" s="10"/>
      <c r="J35" s="10"/>
    </row>
    <row r="36" spans="1:10" x14ac:dyDescent="0.3">
      <c r="A36" s="10"/>
      <c r="B36" s="10"/>
      <c r="C36" s="16"/>
      <c r="D36" s="10"/>
      <c r="E36" s="10"/>
      <c r="F36" s="10"/>
      <c r="G36" s="19"/>
      <c r="H36" s="16"/>
      <c r="I36" s="10"/>
      <c r="J36" s="10"/>
    </row>
    <row r="37" spans="1:10" x14ac:dyDescent="0.3">
      <c r="A37" s="10"/>
      <c r="B37" s="10"/>
      <c r="C37" s="16"/>
      <c r="D37" s="10"/>
      <c r="E37" s="10"/>
      <c r="F37" s="10"/>
      <c r="G37" s="19"/>
      <c r="H37" s="16"/>
      <c r="I37" s="10"/>
      <c r="J37" s="10"/>
    </row>
    <row r="38" spans="1:10" x14ac:dyDescent="0.3">
      <c r="A38" s="10"/>
      <c r="B38" s="10"/>
      <c r="C38" s="16"/>
      <c r="D38" s="10"/>
      <c r="E38" s="10"/>
      <c r="F38" s="10"/>
      <c r="G38" s="19"/>
      <c r="H38" s="16"/>
      <c r="I38" s="10"/>
      <c r="J38" s="10"/>
    </row>
    <row r="39" spans="1:10" x14ac:dyDescent="0.3">
      <c r="A39" s="10"/>
      <c r="B39" s="10"/>
      <c r="C39" s="16"/>
      <c r="D39" s="10"/>
      <c r="E39" s="10"/>
      <c r="F39" s="10"/>
      <c r="G39" s="19"/>
      <c r="H39" s="16"/>
      <c r="I39" s="10"/>
      <c r="J39" s="10"/>
    </row>
    <row r="40" spans="1:10" x14ac:dyDescent="0.3">
      <c r="A40" s="10"/>
      <c r="B40" s="10"/>
      <c r="C40" s="16"/>
      <c r="D40" s="10"/>
      <c r="E40" s="10"/>
      <c r="F40" s="10"/>
      <c r="G40" s="19"/>
      <c r="H40" s="16"/>
      <c r="I40" s="10"/>
      <c r="J40" s="10"/>
    </row>
    <row r="41" spans="1:10" x14ac:dyDescent="0.3">
      <c r="A41" s="10"/>
      <c r="B41" s="10"/>
      <c r="C41" s="16"/>
      <c r="D41" s="10"/>
      <c r="E41" s="10"/>
      <c r="F41" s="10"/>
      <c r="G41" s="19"/>
      <c r="H41" s="16"/>
      <c r="I41" s="10"/>
      <c r="J41" s="10"/>
    </row>
    <row r="42" spans="1:10" x14ac:dyDescent="0.3">
      <c r="A42" s="10"/>
      <c r="B42" s="10"/>
      <c r="C42" s="16"/>
      <c r="D42" s="10"/>
      <c r="E42" s="10"/>
      <c r="F42" s="10"/>
      <c r="G42" s="19"/>
      <c r="H42" s="16"/>
      <c r="I42" s="10"/>
      <c r="J42" s="10"/>
    </row>
    <row r="43" spans="1:10" x14ac:dyDescent="0.3">
      <c r="A43" s="10"/>
      <c r="B43" s="10"/>
      <c r="C43" s="16"/>
      <c r="D43" s="10"/>
      <c r="E43" s="10"/>
      <c r="F43" s="10"/>
      <c r="G43" s="19"/>
      <c r="H43" s="16"/>
      <c r="I43" s="10"/>
      <c r="J43" s="10"/>
    </row>
    <row r="44" spans="1:10" x14ac:dyDescent="0.3">
      <c r="A44" s="10"/>
      <c r="B44" s="10"/>
      <c r="C44" s="16"/>
      <c r="D44" s="10"/>
      <c r="E44" s="10"/>
      <c r="F44" s="10"/>
      <c r="G44" s="19"/>
      <c r="H44" s="16"/>
      <c r="I44" s="10"/>
      <c r="J44" s="10"/>
    </row>
    <row r="45" spans="1:10" x14ac:dyDescent="0.3">
      <c r="A45" s="10"/>
      <c r="B45" s="10"/>
      <c r="C45" s="16"/>
      <c r="D45" s="10"/>
      <c r="E45" s="10"/>
      <c r="F45" s="10"/>
      <c r="G45" s="19"/>
      <c r="H45" s="16"/>
      <c r="I45" s="10"/>
      <c r="J45" s="10"/>
    </row>
    <row r="46" spans="1:10" x14ac:dyDescent="0.3">
      <c r="A46" s="10"/>
      <c r="B46" s="10"/>
      <c r="C46" s="16"/>
      <c r="D46" s="10"/>
      <c r="E46" s="10"/>
      <c r="F46" s="10"/>
      <c r="G46" s="19"/>
      <c r="H46" s="16"/>
      <c r="I46" s="10"/>
      <c r="J46" s="10"/>
    </row>
    <row r="47" spans="1:10" x14ac:dyDescent="0.3">
      <c r="A47" s="10"/>
      <c r="B47" s="10"/>
      <c r="C47" s="16"/>
      <c r="D47" s="10"/>
      <c r="E47" s="10"/>
      <c r="F47" s="10"/>
      <c r="G47" s="19"/>
      <c r="H47" s="16"/>
      <c r="I47" s="10"/>
      <c r="J47" s="10"/>
    </row>
    <row r="48" spans="1:10" x14ac:dyDescent="0.3">
      <c r="A48" s="10"/>
      <c r="B48" s="10"/>
      <c r="C48" s="16"/>
      <c r="D48" s="10"/>
      <c r="E48" s="10"/>
      <c r="F48" s="10"/>
      <c r="G48" s="19"/>
      <c r="H48" s="16"/>
      <c r="I48" s="10"/>
      <c r="J48" s="10"/>
    </row>
    <row r="49" spans="1:10" x14ac:dyDescent="0.3">
      <c r="A49" s="10"/>
      <c r="B49" s="10"/>
      <c r="C49" s="16"/>
      <c r="D49" s="10"/>
      <c r="E49" s="10"/>
      <c r="F49" s="10"/>
      <c r="G49" s="19"/>
      <c r="H49" s="16"/>
      <c r="I49" s="10"/>
      <c r="J49" s="10"/>
    </row>
    <row r="50" spans="1:10" x14ac:dyDescent="0.3">
      <c r="A50" s="10"/>
      <c r="B50" s="10"/>
      <c r="C50" s="16"/>
      <c r="D50" s="10"/>
      <c r="E50" s="10"/>
      <c r="F50" s="10"/>
      <c r="G50" s="19"/>
      <c r="H50" s="16"/>
      <c r="I50" s="10"/>
      <c r="J50" s="10"/>
    </row>
    <row r="51" spans="1:10" x14ac:dyDescent="0.3">
      <c r="A51" s="10"/>
      <c r="B51" s="10"/>
      <c r="C51" s="16"/>
      <c r="D51" s="10"/>
      <c r="E51" s="10"/>
      <c r="F51" s="10"/>
      <c r="G51" s="19"/>
      <c r="H51" s="16"/>
      <c r="I51" s="10"/>
      <c r="J51" s="10"/>
    </row>
    <row r="52" spans="1:10" x14ac:dyDescent="0.3">
      <c r="A52" s="10"/>
      <c r="B52" s="10"/>
      <c r="C52" s="16"/>
      <c r="D52" s="10"/>
      <c r="E52" s="10"/>
      <c r="F52" s="10"/>
      <c r="G52" s="19"/>
      <c r="H52" s="16"/>
      <c r="I52" s="10"/>
      <c r="J52" s="10"/>
    </row>
    <row r="53" spans="1:10" x14ac:dyDescent="0.3">
      <c r="A53" s="10"/>
      <c r="B53" s="10"/>
      <c r="C53" s="16"/>
      <c r="D53" s="10"/>
      <c r="E53" s="10"/>
      <c r="F53" s="10"/>
      <c r="G53" s="19"/>
      <c r="H53" s="16"/>
      <c r="I53" s="10"/>
      <c r="J53" s="10"/>
    </row>
    <row r="54" spans="1:10" x14ac:dyDescent="0.3">
      <c r="A54" s="10"/>
      <c r="B54" s="10"/>
      <c r="C54" s="16"/>
      <c r="D54" s="10"/>
      <c r="E54" s="10"/>
      <c r="F54" s="10"/>
      <c r="G54" s="19"/>
      <c r="H54" s="16"/>
      <c r="I54" s="10"/>
      <c r="J54" s="10"/>
    </row>
    <row r="55" spans="1:10" x14ac:dyDescent="0.3">
      <c r="A55" s="10"/>
      <c r="B55" s="10"/>
      <c r="C55" s="16"/>
      <c r="D55" s="10"/>
      <c r="E55" s="10"/>
      <c r="F55" s="10"/>
      <c r="G55" s="19"/>
      <c r="H55" s="16"/>
      <c r="I55" s="10"/>
      <c r="J55" s="10"/>
    </row>
    <row r="56" spans="1:10" x14ac:dyDescent="0.3">
      <c r="A56" s="10"/>
      <c r="B56" s="10"/>
      <c r="C56" s="16"/>
      <c r="D56" s="10"/>
      <c r="E56" s="10"/>
      <c r="F56" s="10"/>
      <c r="G56" s="19"/>
      <c r="H56" s="16"/>
      <c r="I56" s="10"/>
      <c r="J56" s="10"/>
    </row>
    <row r="57" spans="1:10" x14ac:dyDescent="0.3">
      <c r="A57" s="10"/>
      <c r="B57" s="10"/>
      <c r="C57" s="16"/>
      <c r="D57" s="10"/>
      <c r="E57" s="10"/>
      <c r="F57" s="10"/>
      <c r="G57" s="19"/>
      <c r="H57" s="16"/>
      <c r="I57" s="10"/>
      <c r="J57" s="10"/>
    </row>
    <row r="58" spans="1:10" x14ac:dyDescent="0.3">
      <c r="A58" s="10"/>
      <c r="B58" s="10"/>
      <c r="C58" s="16"/>
      <c r="D58" s="10"/>
      <c r="E58" s="10"/>
      <c r="F58" s="10"/>
      <c r="G58" s="19"/>
      <c r="H58" s="16"/>
      <c r="I58" s="10"/>
      <c r="J58" s="10"/>
    </row>
    <row r="59" spans="1:10" x14ac:dyDescent="0.3">
      <c r="A59" s="10"/>
      <c r="B59" s="10"/>
      <c r="C59" s="16"/>
      <c r="D59" s="10"/>
      <c r="E59" s="10"/>
      <c r="F59" s="10"/>
      <c r="G59" s="19"/>
      <c r="H59" s="16"/>
      <c r="I59" s="10"/>
      <c r="J59" s="10"/>
    </row>
    <row r="60" spans="1:10" x14ac:dyDescent="0.3">
      <c r="A60" s="10"/>
      <c r="B60" s="10"/>
      <c r="C60" s="16"/>
      <c r="D60" s="10"/>
      <c r="E60" s="10"/>
      <c r="F60" s="10"/>
      <c r="G60" s="19"/>
      <c r="H60" s="16"/>
      <c r="I60" s="10"/>
      <c r="J60" s="10"/>
    </row>
    <row r="61" spans="1:10" x14ac:dyDescent="0.3">
      <c r="A61" s="10"/>
      <c r="B61" s="10"/>
      <c r="C61" s="16"/>
      <c r="D61" s="10"/>
      <c r="E61" s="10"/>
      <c r="F61" s="10"/>
      <c r="G61" s="19"/>
      <c r="H61" s="16"/>
      <c r="I61" s="10"/>
      <c r="J61" s="10"/>
    </row>
    <row r="62" spans="1:10" x14ac:dyDescent="0.3">
      <c r="A62" s="10"/>
      <c r="B62" s="10"/>
      <c r="C62" s="16"/>
      <c r="D62" s="10"/>
      <c r="E62" s="10"/>
      <c r="F62" s="10"/>
      <c r="G62" s="19"/>
      <c r="H62" s="16"/>
      <c r="I62" s="10"/>
      <c r="J62" s="10"/>
    </row>
    <row r="63" spans="1:10" x14ac:dyDescent="0.3">
      <c r="A63" s="10"/>
      <c r="B63" s="10"/>
      <c r="C63" s="16"/>
      <c r="D63" s="10"/>
      <c r="E63" s="10"/>
      <c r="F63" s="10"/>
      <c r="G63" s="19"/>
      <c r="H63" s="16"/>
      <c r="I63" s="10"/>
      <c r="J63" s="10"/>
    </row>
    <row r="64" spans="1:10" x14ac:dyDescent="0.3">
      <c r="A64" s="10"/>
      <c r="B64" s="10"/>
      <c r="C64" s="16"/>
      <c r="D64" s="10"/>
      <c r="E64" s="10"/>
      <c r="F64" s="10"/>
      <c r="G64" s="19"/>
      <c r="H64" s="16"/>
      <c r="I64" s="10"/>
      <c r="J64" s="10"/>
    </row>
    <row r="65" spans="1:10" x14ac:dyDescent="0.3">
      <c r="A65" s="10"/>
      <c r="B65" s="10"/>
      <c r="C65" s="16"/>
      <c r="D65" s="10"/>
      <c r="E65" s="10"/>
      <c r="F65" s="10"/>
      <c r="G65" s="19"/>
      <c r="H65" s="16"/>
      <c r="I65" s="10"/>
      <c r="J65" s="10"/>
    </row>
    <row r="66" spans="1:10" x14ac:dyDescent="0.3">
      <c r="A66" s="10"/>
      <c r="B66" s="10"/>
      <c r="C66" s="16"/>
      <c r="D66" s="10"/>
      <c r="E66" s="10"/>
      <c r="F66" s="10"/>
      <c r="G66" s="19"/>
      <c r="H66" s="16"/>
      <c r="I66" s="10"/>
      <c r="J66" s="10"/>
    </row>
    <row r="67" spans="1:10" x14ac:dyDescent="0.3">
      <c r="A67" s="10"/>
      <c r="B67" s="10"/>
      <c r="C67" s="16"/>
      <c r="D67" s="10"/>
      <c r="E67" s="10"/>
      <c r="F67" s="10"/>
      <c r="G67" s="19"/>
      <c r="H67" s="16"/>
      <c r="I67" s="10"/>
      <c r="J67" s="10"/>
    </row>
    <row r="68" spans="1:10" x14ac:dyDescent="0.3">
      <c r="A68" s="10"/>
      <c r="B68" s="10"/>
      <c r="C68" s="16"/>
      <c r="D68" s="10"/>
      <c r="E68" s="10"/>
      <c r="F68" s="10"/>
      <c r="G68" s="19"/>
      <c r="H68" s="16"/>
      <c r="I68" s="10"/>
      <c r="J68" s="10"/>
    </row>
    <row r="69" spans="1:10" x14ac:dyDescent="0.3">
      <c r="A69" s="10"/>
      <c r="B69" s="10"/>
      <c r="C69" s="16"/>
      <c r="D69" s="10"/>
      <c r="E69" s="10"/>
      <c r="F69" s="10"/>
      <c r="G69" s="19"/>
      <c r="H69" s="16"/>
      <c r="I69" s="10"/>
      <c r="J69" s="10"/>
    </row>
    <row r="70" spans="1:10" x14ac:dyDescent="0.3">
      <c r="A70" s="10"/>
      <c r="B70" s="10"/>
      <c r="C70" s="16"/>
      <c r="D70" s="10"/>
      <c r="E70" s="10"/>
      <c r="F70" s="10"/>
      <c r="G70" s="19"/>
      <c r="H70" s="16"/>
      <c r="I70" s="10"/>
      <c r="J70" s="10"/>
    </row>
    <row r="71" spans="1:10" x14ac:dyDescent="0.3">
      <c r="A71" s="10"/>
      <c r="B71" s="10"/>
      <c r="C71" s="16"/>
      <c r="D71" s="10"/>
      <c r="E71" s="10"/>
      <c r="F71" s="10"/>
      <c r="G71" s="19"/>
      <c r="H71" s="16"/>
      <c r="I71" s="10"/>
      <c r="J71" s="10"/>
    </row>
    <row r="72" spans="1:10" x14ac:dyDescent="0.3">
      <c r="A72" s="10"/>
      <c r="B72" s="10"/>
      <c r="C72" s="16"/>
      <c r="D72" s="10"/>
      <c r="E72" s="10"/>
      <c r="F72" s="10"/>
      <c r="G72" s="19"/>
      <c r="H72" s="16"/>
      <c r="I72" s="10"/>
      <c r="J72" s="10"/>
    </row>
    <row r="73" spans="1:10" x14ac:dyDescent="0.3">
      <c r="A73" s="10"/>
      <c r="B73" s="10"/>
      <c r="C73" s="16"/>
      <c r="D73" s="10"/>
      <c r="E73" s="10"/>
      <c r="F73" s="10"/>
      <c r="G73" s="19"/>
      <c r="H73" s="16"/>
      <c r="I73" s="10"/>
      <c r="J73" s="10"/>
    </row>
    <row r="74" spans="1:10" x14ac:dyDescent="0.3">
      <c r="A74" s="10"/>
      <c r="B74" s="10"/>
      <c r="C74" s="16"/>
      <c r="D74" s="10"/>
      <c r="E74" s="10"/>
      <c r="F74" s="10"/>
      <c r="G74" s="19"/>
      <c r="H74" s="16"/>
      <c r="I74" s="10"/>
      <c r="J74" s="10"/>
    </row>
    <row r="75" spans="1:10" x14ac:dyDescent="0.3">
      <c r="A75" s="10"/>
      <c r="B75" s="10"/>
      <c r="C75" s="16"/>
      <c r="D75" s="10"/>
      <c r="E75" s="10"/>
      <c r="F75" s="10"/>
      <c r="G75" s="19"/>
      <c r="H75" s="16"/>
      <c r="I75" s="10"/>
      <c r="J75" s="10"/>
    </row>
    <row r="76" spans="1:10" x14ac:dyDescent="0.3">
      <c r="A76" s="10"/>
      <c r="B76" s="10"/>
      <c r="C76" s="16"/>
      <c r="D76" s="10"/>
      <c r="E76" s="10"/>
      <c r="F76" s="10"/>
      <c r="G76" s="19"/>
      <c r="H76" s="16"/>
      <c r="I76" s="10"/>
      <c r="J76" s="10"/>
    </row>
    <row r="77" spans="1:10" x14ac:dyDescent="0.3">
      <c r="A77" s="10"/>
      <c r="B77" s="10"/>
      <c r="C77" s="16"/>
      <c r="D77" s="10"/>
      <c r="E77" s="10"/>
      <c r="F77" s="10"/>
      <c r="G77" s="19"/>
      <c r="H77" s="16"/>
      <c r="I77" s="10"/>
      <c r="J77" s="10"/>
    </row>
    <row r="78" spans="1:10" x14ac:dyDescent="0.3">
      <c r="A78" s="10"/>
      <c r="B78" s="10"/>
      <c r="C78" s="16"/>
      <c r="D78" s="10"/>
      <c r="E78" s="10"/>
      <c r="F78" s="10"/>
      <c r="G78" s="19"/>
      <c r="H78" s="16"/>
      <c r="I78" s="10"/>
      <c r="J78" s="10"/>
    </row>
    <row r="79" spans="1:10" x14ac:dyDescent="0.3">
      <c r="A79" s="10"/>
      <c r="B79" s="10"/>
      <c r="C79" s="16"/>
      <c r="D79" s="10"/>
      <c r="E79" s="10"/>
      <c r="F79" s="10"/>
      <c r="G79" s="19"/>
      <c r="H79" s="16"/>
      <c r="I79" s="10"/>
      <c r="J79" s="10"/>
    </row>
    <row r="80" spans="1:10" x14ac:dyDescent="0.3">
      <c r="A80" s="10"/>
      <c r="B80" s="10"/>
      <c r="C80" s="16"/>
      <c r="D80" s="10"/>
      <c r="E80" s="10"/>
      <c r="F80" s="10"/>
      <c r="G80" s="19"/>
      <c r="H80" s="16"/>
      <c r="I80" s="10"/>
      <c r="J80" s="10"/>
    </row>
    <row r="81" spans="1:10" x14ac:dyDescent="0.3">
      <c r="A81" s="10"/>
      <c r="B81" s="10"/>
      <c r="C81" s="16"/>
      <c r="D81" s="10"/>
      <c r="E81" s="10"/>
      <c r="F81" s="10"/>
      <c r="G81" s="19"/>
      <c r="H81" s="16"/>
      <c r="I81" s="10"/>
      <c r="J81" s="10"/>
    </row>
    <row r="82" spans="1:10" x14ac:dyDescent="0.3">
      <c r="A82" s="10"/>
      <c r="B82" s="10"/>
      <c r="C82" s="16"/>
      <c r="D82" s="10"/>
      <c r="E82" s="10"/>
      <c r="F82" s="10"/>
      <c r="G82" s="19"/>
      <c r="H82" s="16"/>
      <c r="I82" s="10"/>
      <c r="J82" s="10"/>
    </row>
    <row r="83" spans="1:10" x14ac:dyDescent="0.3">
      <c r="A83" s="10"/>
      <c r="B83" s="10"/>
      <c r="C83" s="16"/>
      <c r="D83" s="10"/>
      <c r="E83" s="10"/>
      <c r="F83" s="10"/>
      <c r="G83" s="19"/>
      <c r="H83" s="16"/>
      <c r="I83" s="10"/>
      <c r="J83" s="10"/>
    </row>
    <row r="84" spans="1:10" x14ac:dyDescent="0.3">
      <c r="A84" s="10"/>
      <c r="B84" s="10"/>
      <c r="C84" s="16"/>
      <c r="D84" s="10"/>
      <c r="E84" s="10"/>
      <c r="F84" s="10"/>
      <c r="G84" s="19"/>
      <c r="H84" s="16"/>
      <c r="I84" s="10"/>
      <c r="J84" s="10"/>
    </row>
    <row r="85" spans="1:10" x14ac:dyDescent="0.3">
      <c r="A85" s="10"/>
      <c r="B85" s="10"/>
      <c r="C85" s="16"/>
      <c r="D85" s="10"/>
      <c r="E85" s="10"/>
      <c r="F85" s="10"/>
      <c r="G85" s="19"/>
      <c r="H85" s="16"/>
      <c r="I85" s="10"/>
      <c r="J85" s="10"/>
    </row>
    <row r="86" spans="1:10" x14ac:dyDescent="0.3">
      <c r="A86" s="10"/>
      <c r="B86" s="10"/>
      <c r="C86" s="16"/>
      <c r="D86" s="10"/>
      <c r="E86" s="10"/>
      <c r="F86" s="10"/>
      <c r="G86" s="19"/>
      <c r="H86" s="16"/>
      <c r="I86" s="10"/>
      <c r="J86" s="10"/>
    </row>
    <row r="87" spans="1:10" x14ac:dyDescent="0.3">
      <c r="A87" s="10"/>
      <c r="B87" s="10"/>
      <c r="C87" s="16"/>
      <c r="D87" s="10"/>
      <c r="E87" s="10"/>
      <c r="F87" s="10"/>
      <c r="G87" s="19"/>
      <c r="H87" s="16"/>
      <c r="I87" s="10"/>
      <c r="J87" s="10"/>
    </row>
    <row r="88" spans="1:10" x14ac:dyDescent="0.3">
      <c r="A88" s="10"/>
      <c r="B88" s="10"/>
      <c r="C88" s="16"/>
      <c r="D88" s="10"/>
      <c r="E88" s="10"/>
      <c r="F88" s="10"/>
      <c r="G88" s="19"/>
      <c r="H88" s="16"/>
      <c r="I88" s="10"/>
      <c r="J88" s="10"/>
    </row>
    <row r="89" spans="1:10" x14ac:dyDescent="0.3">
      <c r="A89" s="10"/>
      <c r="B89" s="10"/>
      <c r="C89" s="16"/>
      <c r="D89" s="10"/>
      <c r="E89" s="10"/>
      <c r="F89" s="10"/>
      <c r="G89" s="19"/>
      <c r="H89" s="16"/>
      <c r="I89" s="10"/>
      <c r="J89" s="10"/>
    </row>
    <row r="90" spans="1:10" x14ac:dyDescent="0.3">
      <c r="A90" s="10"/>
      <c r="B90" s="10"/>
      <c r="C90" s="16"/>
      <c r="D90" s="10"/>
      <c r="E90" s="10"/>
      <c r="F90" s="10"/>
      <c r="G90" s="19"/>
      <c r="H90" s="16"/>
      <c r="I90" s="10"/>
      <c r="J90" s="10"/>
    </row>
    <row r="91" spans="1:10" x14ac:dyDescent="0.3">
      <c r="A91" s="10"/>
      <c r="B91" s="10"/>
      <c r="C91" s="16"/>
      <c r="D91" s="10"/>
      <c r="E91" s="10"/>
      <c r="F91" s="10"/>
      <c r="G91" s="19"/>
      <c r="H91" s="16"/>
      <c r="I91" s="10"/>
      <c r="J91" s="10"/>
    </row>
    <row r="92" spans="1:10" x14ac:dyDescent="0.3">
      <c r="A92" s="10"/>
      <c r="B92" s="10"/>
      <c r="C92" s="16"/>
      <c r="D92" s="10"/>
      <c r="E92" s="10"/>
      <c r="F92" s="10"/>
      <c r="G92" s="19"/>
      <c r="H92" s="16"/>
      <c r="I92" s="10"/>
      <c r="J92" s="10"/>
    </row>
    <row r="93" spans="1:10" x14ac:dyDescent="0.3">
      <c r="A93" s="10"/>
      <c r="B93" s="10"/>
      <c r="C93" s="16"/>
      <c r="D93" s="10"/>
      <c r="E93" s="10"/>
      <c r="F93" s="10"/>
      <c r="G93" s="19"/>
      <c r="H93" s="16"/>
      <c r="I93" s="10"/>
      <c r="J93" s="10"/>
    </row>
    <row r="94" spans="1:10" x14ac:dyDescent="0.3">
      <c r="A94" s="10"/>
      <c r="B94" s="10"/>
      <c r="C94" s="16"/>
      <c r="D94" s="10"/>
      <c r="E94" s="10"/>
      <c r="F94" s="10"/>
      <c r="G94" s="19"/>
      <c r="H94" s="16"/>
      <c r="I94" s="10"/>
      <c r="J94" s="10"/>
    </row>
    <row r="95" spans="1:10" x14ac:dyDescent="0.3">
      <c r="A95" s="10"/>
      <c r="B95" s="10"/>
      <c r="C95" s="16"/>
      <c r="D95" s="10"/>
      <c r="E95" s="10"/>
      <c r="F95" s="10"/>
      <c r="G95" s="19"/>
      <c r="H95" s="16"/>
      <c r="I95" s="10"/>
      <c r="J95" s="10"/>
    </row>
    <row r="96" spans="1:10" x14ac:dyDescent="0.3">
      <c r="A96" s="10"/>
      <c r="B96" s="10"/>
      <c r="C96" s="16"/>
      <c r="D96" s="10"/>
      <c r="E96" s="10"/>
      <c r="F96" s="10"/>
      <c r="G96" s="19"/>
      <c r="H96" s="16"/>
      <c r="I96" s="10"/>
      <c r="J96" s="10"/>
    </row>
    <row r="97" spans="1:10" x14ac:dyDescent="0.3">
      <c r="A97" s="10"/>
      <c r="B97" s="10"/>
      <c r="C97" s="16"/>
      <c r="D97" s="10"/>
      <c r="E97" s="10"/>
      <c r="F97" s="10"/>
      <c r="G97" s="19"/>
      <c r="H97" s="16"/>
      <c r="I97" s="10"/>
      <c r="J97" s="10"/>
    </row>
    <row r="98" spans="1:10" x14ac:dyDescent="0.3">
      <c r="A98" s="10"/>
      <c r="B98" s="10"/>
      <c r="C98" s="16"/>
      <c r="D98" s="10"/>
      <c r="E98" s="10"/>
      <c r="F98" s="10"/>
      <c r="G98" s="19"/>
      <c r="H98" s="16"/>
      <c r="I98" s="10"/>
      <c r="J98" s="10"/>
    </row>
    <row r="99" spans="1:10" x14ac:dyDescent="0.3">
      <c r="A99" s="10"/>
      <c r="B99" s="10"/>
      <c r="C99" s="16"/>
      <c r="D99" s="10"/>
      <c r="E99" s="10"/>
      <c r="F99" s="10"/>
      <c r="G99" s="19"/>
      <c r="H99" s="16"/>
      <c r="I99" s="10"/>
      <c r="J99" s="10"/>
    </row>
    <row r="100" spans="1:10" x14ac:dyDescent="0.3">
      <c r="A100" s="10"/>
      <c r="B100" s="10"/>
      <c r="C100" s="16"/>
      <c r="D100" s="10"/>
      <c r="E100" s="10"/>
      <c r="F100" s="10"/>
      <c r="G100" s="19"/>
      <c r="H100" s="16"/>
      <c r="I100" s="10"/>
      <c r="J100" s="10"/>
    </row>
    <row r="101" spans="1:10" x14ac:dyDescent="0.3">
      <c r="A101" s="10"/>
      <c r="B101" s="10"/>
      <c r="C101" s="16"/>
      <c r="D101" s="10"/>
      <c r="E101" s="10"/>
      <c r="F101" s="10"/>
      <c r="G101" s="19"/>
      <c r="H101" s="16"/>
      <c r="I101" s="10"/>
      <c r="J101" s="10"/>
    </row>
    <row r="102" spans="1:10" x14ac:dyDescent="0.3">
      <c r="A102" s="10"/>
      <c r="B102" s="10"/>
      <c r="C102" s="16"/>
      <c r="D102" s="10"/>
      <c r="E102" s="10"/>
      <c r="F102" s="10"/>
      <c r="G102" s="19"/>
      <c r="H102" s="16"/>
      <c r="I102" s="10"/>
      <c r="J102" s="10"/>
    </row>
    <row r="103" spans="1:10" x14ac:dyDescent="0.3">
      <c r="A103" s="10"/>
      <c r="B103" s="10"/>
      <c r="C103" s="16"/>
      <c r="D103" s="10"/>
      <c r="E103" s="10"/>
      <c r="F103" s="10"/>
      <c r="G103" s="19"/>
      <c r="H103" s="16"/>
      <c r="I103" s="10"/>
      <c r="J103" s="10"/>
    </row>
    <row r="104" spans="1:10" x14ac:dyDescent="0.3">
      <c r="A104" s="10"/>
      <c r="B104" s="10"/>
      <c r="C104" s="16"/>
      <c r="D104" s="10"/>
      <c r="E104" s="10"/>
      <c r="F104" s="10"/>
      <c r="G104" s="19"/>
      <c r="H104" s="16"/>
      <c r="I104" s="10"/>
      <c r="J104" s="10"/>
    </row>
    <row r="105" spans="1:10" x14ac:dyDescent="0.3">
      <c r="A105" s="10"/>
      <c r="B105" s="10"/>
      <c r="C105" s="16"/>
      <c r="D105" s="10"/>
      <c r="E105" s="10"/>
      <c r="F105" s="10"/>
      <c r="G105" s="19"/>
      <c r="H105" s="16"/>
      <c r="I105" s="10"/>
      <c r="J105" s="10"/>
    </row>
    <row r="106" spans="1:10" x14ac:dyDescent="0.3">
      <c r="A106" s="10"/>
      <c r="B106" s="10"/>
      <c r="C106" s="16"/>
      <c r="D106" s="10"/>
      <c r="E106" s="10"/>
      <c r="F106" s="10"/>
      <c r="G106" s="19"/>
      <c r="H106" s="16"/>
      <c r="I106" s="10"/>
      <c r="J106" s="10"/>
    </row>
    <row r="107" spans="1:10" x14ac:dyDescent="0.3">
      <c r="A107" s="10"/>
      <c r="B107" s="10"/>
      <c r="C107" s="16"/>
      <c r="D107" s="10"/>
      <c r="E107" s="10"/>
      <c r="F107" s="10"/>
      <c r="G107" s="19"/>
      <c r="H107" s="16"/>
      <c r="I107" s="10"/>
      <c r="J107" s="10"/>
    </row>
    <row r="108" spans="1:10" x14ac:dyDescent="0.3">
      <c r="A108" s="10"/>
      <c r="B108" s="10"/>
      <c r="C108" s="16"/>
      <c r="D108" s="10"/>
      <c r="E108" s="10"/>
      <c r="F108" s="10"/>
      <c r="G108" s="19"/>
      <c r="H108" s="16"/>
      <c r="I108" s="10"/>
      <c r="J108" s="10"/>
    </row>
    <row r="109" spans="1:10" x14ac:dyDescent="0.3">
      <c r="A109" s="10"/>
      <c r="B109" s="10"/>
      <c r="C109" s="16"/>
      <c r="D109" s="10"/>
      <c r="E109" s="10"/>
      <c r="F109" s="10"/>
      <c r="G109" s="19"/>
      <c r="H109" s="16"/>
      <c r="I109" s="10"/>
      <c r="J109" s="10"/>
    </row>
    <row r="110" spans="1:10" x14ac:dyDescent="0.3">
      <c r="A110" s="10"/>
      <c r="B110" s="10"/>
      <c r="C110" s="16"/>
      <c r="D110" s="10"/>
      <c r="E110" s="10"/>
      <c r="F110" s="10"/>
      <c r="G110" s="19"/>
      <c r="H110" s="16"/>
      <c r="I110" s="10"/>
      <c r="J110" s="10"/>
    </row>
    <row r="111" spans="1:10" x14ac:dyDescent="0.3">
      <c r="A111" s="10"/>
      <c r="B111" s="10"/>
      <c r="C111" s="16"/>
      <c r="D111" s="10"/>
      <c r="E111" s="10"/>
      <c r="F111" s="10"/>
      <c r="G111" s="19"/>
      <c r="H111" s="16"/>
      <c r="I111" s="10"/>
      <c r="J111" s="10"/>
    </row>
    <row r="112" spans="1:10" x14ac:dyDescent="0.3">
      <c r="A112" s="10"/>
      <c r="B112" s="10"/>
      <c r="C112" s="16"/>
      <c r="D112" s="10"/>
      <c r="E112" s="10"/>
      <c r="F112" s="10"/>
      <c r="G112" s="19"/>
      <c r="H112" s="16"/>
      <c r="I112" s="10"/>
      <c r="J112" s="10"/>
    </row>
    <row r="113" spans="1:10" x14ac:dyDescent="0.3">
      <c r="A113" s="10"/>
      <c r="B113" s="10"/>
      <c r="C113" s="16"/>
      <c r="D113" s="10"/>
      <c r="E113" s="10"/>
      <c r="F113" s="10"/>
      <c r="G113" s="19"/>
      <c r="H113" s="16"/>
      <c r="I113" s="10"/>
      <c r="J113" s="10"/>
    </row>
    <row r="114" spans="1:10" x14ac:dyDescent="0.3">
      <c r="A114" s="10"/>
      <c r="B114" s="10"/>
      <c r="C114" s="16"/>
      <c r="D114" s="10"/>
      <c r="E114" s="10"/>
      <c r="F114" s="10"/>
      <c r="G114" s="19"/>
      <c r="H114" s="16"/>
      <c r="I114" s="10"/>
      <c r="J114" s="10"/>
    </row>
    <row r="115" spans="1:10" x14ac:dyDescent="0.3">
      <c r="A115" s="10"/>
      <c r="B115" s="10"/>
      <c r="C115" s="16"/>
      <c r="D115" s="10"/>
      <c r="E115" s="10"/>
      <c r="F115" s="10"/>
      <c r="G115" s="19"/>
      <c r="H115" s="16"/>
      <c r="I115" s="10"/>
      <c r="J115" s="10"/>
    </row>
    <row r="116" spans="1:10" x14ac:dyDescent="0.3">
      <c r="A116" s="10"/>
      <c r="B116" s="10"/>
      <c r="C116" s="16"/>
      <c r="D116" s="10"/>
      <c r="E116" s="10"/>
      <c r="F116" s="10"/>
      <c r="G116" s="19"/>
      <c r="H116" s="16"/>
      <c r="I116" s="10"/>
      <c r="J116" s="10"/>
    </row>
    <row r="117" spans="1:10" x14ac:dyDescent="0.3">
      <c r="A117" s="10"/>
      <c r="B117" s="10"/>
      <c r="C117" s="16"/>
      <c r="D117" s="10"/>
      <c r="E117" s="10"/>
      <c r="F117" s="10"/>
      <c r="G117" s="19"/>
      <c r="H117" s="16"/>
      <c r="I117" s="10"/>
      <c r="J117" s="10"/>
    </row>
    <row r="118" spans="1:10" x14ac:dyDescent="0.3">
      <c r="A118" s="10"/>
      <c r="B118" s="10"/>
      <c r="C118" s="16"/>
      <c r="D118" s="10"/>
      <c r="E118" s="10"/>
      <c r="F118" s="10"/>
      <c r="G118" s="19"/>
      <c r="H118" s="16"/>
      <c r="I118" s="10"/>
      <c r="J118" s="10"/>
    </row>
    <row r="119" spans="1:10" x14ac:dyDescent="0.3">
      <c r="A119" s="10"/>
      <c r="B119" s="10"/>
      <c r="C119" s="16"/>
      <c r="D119" s="10"/>
      <c r="E119" s="10"/>
      <c r="F119" s="10"/>
      <c r="G119" s="19"/>
      <c r="H119" s="16"/>
      <c r="I119" s="10"/>
      <c r="J119" s="10"/>
    </row>
    <row r="120" spans="1:10" x14ac:dyDescent="0.3">
      <c r="A120" s="10"/>
      <c r="B120" s="10"/>
      <c r="C120" s="16"/>
      <c r="D120" s="10"/>
      <c r="E120" s="10"/>
      <c r="F120" s="10"/>
      <c r="G120" s="19"/>
      <c r="H120" s="16"/>
      <c r="I120" s="10"/>
      <c r="J120" s="10"/>
    </row>
    <row r="121" spans="1:10" x14ac:dyDescent="0.3">
      <c r="A121" s="10"/>
      <c r="B121" s="10"/>
      <c r="C121" s="16"/>
      <c r="D121" s="10"/>
      <c r="E121" s="10"/>
      <c r="F121" s="10"/>
      <c r="G121" s="19"/>
      <c r="H121" s="16"/>
      <c r="I121" s="10"/>
      <c r="J121" s="10"/>
    </row>
    <row r="122" spans="1:10" x14ac:dyDescent="0.3">
      <c r="A122" s="10"/>
      <c r="B122" s="10"/>
      <c r="C122" s="16"/>
      <c r="D122" s="10"/>
      <c r="E122" s="10"/>
      <c r="F122" s="10"/>
      <c r="G122" s="19"/>
      <c r="H122" s="16"/>
      <c r="I122" s="10"/>
      <c r="J122" s="10"/>
    </row>
    <row r="123" spans="1:10" x14ac:dyDescent="0.3">
      <c r="A123" s="10"/>
      <c r="B123" s="10"/>
      <c r="C123" s="16"/>
      <c r="D123" s="10"/>
      <c r="E123" s="10"/>
      <c r="F123" s="10"/>
      <c r="G123" s="19"/>
      <c r="H123" s="16"/>
      <c r="I123" s="10"/>
      <c r="J123" s="10"/>
    </row>
    <row r="124" spans="1:10" x14ac:dyDescent="0.3">
      <c r="A124" s="10"/>
      <c r="B124" s="10"/>
      <c r="C124" s="16"/>
      <c r="D124" s="10"/>
      <c r="E124" s="10"/>
      <c r="F124" s="10"/>
      <c r="G124" s="19"/>
      <c r="H124" s="16"/>
      <c r="I124" s="10"/>
      <c r="J124" s="10"/>
    </row>
    <row r="125" spans="1:10" x14ac:dyDescent="0.3">
      <c r="A125" s="10"/>
      <c r="B125" s="10"/>
      <c r="C125" s="16"/>
      <c r="D125" s="10"/>
      <c r="E125" s="10"/>
      <c r="F125" s="10"/>
      <c r="G125" s="19"/>
      <c r="H125" s="16"/>
      <c r="I125" s="10"/>
      <c r="J125" s="10"/>
    </row>
    <row r="126" spans="1:10" x14ac:dyDescent="0.3">
      <c r="A126" s="10"/>
      <c r="B126" s="10"/>
      <c r="C126" s="16"/>
      <c r="D126" s="10"/>
      <c r="E126" s="10"/>
      <c r="F126" s="10"/>
      <c r="G126" s="19"/>
      <c r="H126" s="16"/>
      <c r="I126" s="10"/>
      <c r="J126" s="10"/>
    </row>
    <row r="127" spans="1:10" x14ac:dyDescent="0.3">
      <c r="A127" s="10"/>
      <c r="B127" s="10"/>
      <c r="C127" s="16"/>
      <c r="D127" s="10"/>
      <c r="E127" s="10"/>
      <c r="F127" s="10"/>
      <c r="G127" s="19"/>
      <c r="H127" s="16"/>
      <c r="I127" s="10"/>
      <c r="J127" s="10"/>
    </row>
    <row r="128" spans="1:10" x14ac:dyDescent="0.3">
      <c r="A128" s="10"/>
      <c r="B128" s="10"/>
      <c r="C128" s="16"/>
      <c r="D128" s="10"/>
      <c r="E128" s="10"/>
      <c r="F128" s="10"/>
      <c r="G128" s="19"/>
      <c r="H128" s="16"/>
      <c r="I128" s="10"/>
      <c r="J128" s="10"/>
    </row>
    <row r="129" spans="1:10" x14ac:dyDescent="0.3">
      <c r="A129" s="10"/>
      <c r="B129" s="10"/>
      <c r="C129" s="16"/>
      <c r="D129" s="10"/>
      <c r="E129" s="10"/>
      <c r="F129" s="10"/>
      <c r="G129" s="19"/>
      <c r="H129" s="16"/>
      <c r="I129" s="10"/>
      <c r="J129" s="10"/>
    </row>
    <row r="130" spans="1:10" x14ac:dyDescent="0.3">
      <c r="A130" s="10"/>
      <c r="B130" s="10"/>
      <c r="C130" s="16"/>
      <c r="D130" s="10"/>
      <c r="E130" s="10"/>
      <c r="F130" s="10"/>
      <c r="G130" s="19"/>
      <c r="H130" s="16"/>
      <c r="I130" s="10"/>
      <c r="J130" s="10"/>
    </row>
    <row r="131" spans="1:10" x14ac:dyDescent="0.3">
      <c r="A131" s="10"/>
      <c r="B131" s="10"/>
      <c r="C131" s="16"/>
      <c r="D131" s="10"/>
      <c r="E131" s="10"/>
      <c r="F131" s="10"/>
      <c r="G131" s="19"/>
      <c r="H131" s="16"/>
      <c r="I131" s="10"/>
      <c r="J131" s="10"/>
    </row>
    <row r="132" spans="1:10" x14ac:dyDescent="0.3">
      <c r="A132" s="10"/>
      <c r="B132" s="10"/>
      <c r="C132" s="16"/>
      <c r="D132" s="10"/>
      <c r="E132" s="10"/>
      <c r="F132" s="10"/>
      <c r="G132" s="19"/>
      <c r="H132" s="16"/>
      <c r="I132" s="10"/>
      <c r="J132" s="10"/>
    </row>
    <row r="133" spans="1:10" x14ac:dyDescent="0.3">
      <c r="A133" s="10"/>
      <c r="B133" s="10"/>
      <c r="C133" s="16"/>
      <c r="D133" s="10"/>
      <c r="E133" s="10"/>
      <c r="F133" s="10"/>
      <c r="G133" s="19"/>
      <c r="H133" s="16"/>
      <c r="I133" s="10"/>
      <c r="J133" s="10"/>
    </row>
    <row r="134" spans="1:10" x14ac:dyDescent="0.3">
      <c r="A134" s="10"/>
      <c r="B134" s="10"/>
      <c r="C134" s="16"/>
      <c r="D134" s="10"/>
      <c r="E134" s="10"/>
      <c r="F134" s="10"/>
      <c r="G134" s="19"/>
      <c r="H134" s="16"/>
      <c r="I134" s="10"/>
      <c r="J134" s="10"/>
    </row>
    <row r="135" spans="1:10" x14ac:dyDescent="0.3">
      <c r="A135" s="10"/>
      <c r="B135" s="10"/>
      <c r="C135" s="16"/>
      <c r="D135" s="10"/>
      <c r="E135" s="10"/>
      <c r="F135" s="10"/>
      <c r="G135" s="19"/>
      <c r="H135" s="16"/>
      <c r="I135" s="10"/>
      <c r="J135" s="10"/>
    </row>
    <row r="136" spans="1:10" x14ac:dyDescent="0.3">
      <c r="A136" s="10"/>
      <c r="B136" s="10"/>
      <c r="C136" s="16"/>
      <c r="D136" s="10"/>
      <c r="E136" s="10"/>
      <c r="F136" s="10"/>
      <c r="G136" s="19"/>
      <c r="H136" s="16"/>
      <c r="I136" s="10"/>
      <c r="J136" s="10"/>
    </row>
    <row r="137" spans="1:10" x14ac:dyDescent="0.3">
      <c r="A137" s="10"/>
      <c r="B137" s="10"/>
      <c r="C137" s="16"/>
      <c r="D137" s="10"/>
      <c r="E137" s="10"/>
      <c r="F137" s="10"/>
      <c r="G137" s="19"/>
      <c r="H137" s="16"/>
      <c r="I137" s="10"/>
      <c r="J137" s="10"/>
    </row>
    <row r="138" spans="1:10" x14ac:dyDescent="0.3">
      <c r="A138" s="10"/>
      <c r="B138" s="10"/>
      <c r="C138" s="16"/>
      <c r="D138" s="10"/>
      <c r="E138" s="10"/>
      <c r="F138" s="10"/>
      <c r="G138" s="19"/>
      <c r="H138" s="16"/>
      <c r="I138" s="10"/>
      <c r="J138" s="10"/>
    </row>
    <row r="139" spans="1:10" x14ac:dyDescent="0.3">
      <c r="A139" s="10"/>
      <c r="B139" s="10"/>
      <c r="C139" s="16"/>
      <c r="D139" s="10"/>
      <c r="E139" s="10"/>
      <c r="F139" s="10"/>
      <c r="G139" s="19"/>
      <c r="H139" s="16"/>
      <c r="I139" s="10"/>
      <c r="J139" s="10"/>
    </row>
    <row r="140" spans="1:10" x14ac:dyDescent="0.3">
      <c r="A140" s="10"/>
      <c r="B140" s="10"/>
      <c r="C140" s="16"/>
      <c r="D140" s="10"/>
      <c r="E140" s="10"/>
      <c r="F140" s="10"/>
      <c r="G140" s="19"/>
      <c r="H140" s="16"/>
      <c r="I140" s="10"/>
      <c r="J140" s="10"/>
    </row>
    <row r="141" spans="1:10" x14ac:dyDescent="0.3">
      <c r="A141" s="10"/>
      <c r="B141" s="10"/>
      <c r="C141" s="16"/>
      <c r="D141" s="10"/>
      <c r="E141" s="10"/>
      <c r="F141" s="10"/>
      <c r="G141" s="19"/>
      <c r="H141" s="16"/>
      <c r="I141" s="10"/>
      <c r="J141" s="10"/>
    </row>
    <row r="142" spans="1:10" x14ac:dyDescent="0.3">
      <c r="A142" s="10"/>
      <c r="B142" s="10"/>
      <c r="C142" s="16"/>
      <c r="D142" s="10"/>
      <c r="E142" s="10"/>
      <c r="F142" s="10"/>
      <c r="G142" s="19"/>
      <c r="H142" s="16"/>
      <c r="I142" s="10"/>
      <c r="J142" s="10"/>
    </row>
    <row r="143" spans="1:10" x14ac:dyDescent="0.3">
      <c r="A143" s="10"/>
      <c r="B143" s="10"/>
      <c r="C143" s="16"/>
      <c r="D143" s="10"/>
      <c r="E143" s="10"/>
      <c r="F143" s="10"/>
      <c r="G143" s="19"/>
      <c r="H143" s="16"/>
      <c r="I143" s="10"/>
      <c r="J143" s="10"/>
    </row>
    <row r="144" spans="1:10" x14ac:dyDescent="0.3">
      <c r="A144" s="10"/>
      <c r="B144" s="10"/>
      <c r="C144" s="16"/>
      <c r="D144" s="10"/>
      <c r="E144" s="10"/>
      <c r="F144" s="10"/>
      <c r="G144" s="19"/>
      <c r="H144" s="16"/>
      <c r="I144" s="10"/>
      <c r="J144" s="10"/>
    </row>
    <row r="145" spans="1:10" x14ac:dyDescent="0.3">
      <c r="A145" s="10"/>
      <c r="B145" s="10"/>
      <c r="C145" s="16"/>
      <c r="D145" s="10"/>
      <c r="E145" s="10"/>
      <c r="F145" s="10"/>
      <c r="G145" s="19"/>
      <c r="H145" s="16"/>
      <c r="I145" s="10"/>
      <c r="J145" s="10"/>
    </row>
    <row r="146" spans="1:10" x14ac:dyDescent="0.3">
      <c r="A146" s="10"/>
      <c r="B146" s="10"/>
      <c r="C146" s="16"/>
      <c r="D146" s="10"/>
      <c r="E146" s="10"/>
      <c r="F146" s="10"/>
      <c r="G146" s="19"/>
      <c r="H146" s="16"/>
      <c r="I146" s="10"/>
      <c r="J146" s="10"/>
    </row>
    <row r="147" spans="1:10" x14ac:dyDescent="0.3">
      <c r="A147" s="10"/>
      <c r="B147" s="10"/>
      <c r="C147" s="16"/>
      <c r="D147" s="10"/>
      <c r="E147" s="10"/>
      <c r="F147" s="10"/>
      <c r="G147" s="19"/>
      <c r="H147" s="16"/>
      <c r="I147" s="10"/>
      <c r="J147" s="10"/>
    </row>
    <row r="148" spans="1:10" x14ac:dyDescent="0.3">
      <c r="A148" s="10"/>
      <c r="B148" s="10"/>
      <c r="C148" s="16"/>
      <c r="D148" s="10"/>
      <c r="E148" s="10"/>
      <c r="F148" s="10"/>
      <c r="G148" s="19"/>
      <c r="H148" s="16"/>
      <c r="I148" s="10"/>
      <c r="J148" s="10"/>
    </row>
    <row r="149" spans="1:10" x14ac:dyDescent="0.3">
      <c r="A149" s="10"/>
      <c r="B149" s="10"/>
      <c r="C149" s="16"/>
      <c r="D149" s="10"/>
      <c r="E149" s="10"/>
      <c r="F149" s="10"/>
      <c r="G149" s="19"/>
      <c r="H149" s="16"/>
      <c r="I149" s="10"/>
      <c r="J149" s="10"/>
    </row>
    <row r="150" spans="1:10" x14ac:dyDescent="0.3">
      <c r="A150" s="10"/>
      <c r="B150" s="10"/>
      <c r="C150" s="16"/>
      <c r="D150" s="10"/>
      <c r="E150" s="10"/>
      <c r="F150" s="10"/>
      <c r="G150" s="19"/>
      <c r="H150" s="16"/>
      <c r="I150" s="10"/>
      <c r="J150" s="10"/>
    </row>
    <row r="151" spans="1:10" x14ac:dyDescent="0.3">
      <c r="A151" s="10"/>
      <c r="B151" s="10"/>
      <c r="C151" s="16"/>
      <c r="D151" s="10"/>
      <c r="E151" s="10"/>
      <c r="F151" s="10"/>
      <c r="G151" s="19"/>
      <c r="H151" s="16"/>
      <c r="I151" s="10"/>
      <c r="J151" s="10"/>
    </row>
    <row r="152" spans="1:10" x14ac:dyDescent="0.3">
      <c r="A152" s="10"/>
      <c r="B152" s="10"/>
      <c r="C152" s="16"/>
      <c r="D152" s="10"/>
      <c r="E152" s="10"/>
      <c r="F152" s="10"/>
      <c r="G152" s="19"/>
      <c r="H152" s="16"/>
      <c r="I152" s="10"/>
      <c r="J152" s="10"/>
    </row>
    <row r="153" spans="1:10" x14ac:dyDescent="0.3">
      <c r="A153" s="10"/>
      <c r="B153" s="10"/>
      <c r="C153" s="16"/>
      <c r="D153" s="10"/>
      <c r="E153" s="10"/>
      <c r="F153" s="10"/>
      <c r="G153" s="19"/>
      <c r="H153" s="16"/>
      <c r="I153" s="10"/>
      <c r="J153" s="10"/>
    </row>
    <row r="154" spans="1:10" x14ac:dyDescent="0.3">
      <c r="A154" s="10"/>
      <c r="B154" s="10"/>
      <c r="C154" s="16"/>
      <c r="D154" s="10"/>
      <c r="E154" s="10"/>
      <c r="F154" s="10"/>
      <c r="G154" s="19"/>
      <c r="H154" s="16"/>
      <c r="I154" s="10"/>
      <c r="J154" s="10"/>
    </row>
    <row r="155" spans="1:10" x14ac:dyDescent="0.3">
      <c r="A155" s="10"/>
      <c r="B155" s="10"/>
      <c r="C155" s="16"/>
      <c r="D155" s="10"/>
      <c r="E155" s="10"/>
      <c r="F155" s="10"/>
      <c r="G155" s="19"/>
      <c r="H155" s="16"/>
      <c r="I155" s="10"/>
      <c r="J155" s="10"/>
    </row>
    <row r="156" spans="1:10" x14ac:dyDescent="0.3">
      <c r="A156" s="10"/>
      <c r="B156" s="10"/>
      <c r="C156" s="16"/>
      <c r="D156" s="10"/>
      <c r="E156" s="10"/>
      <c r="F156" s="10"/>
      <c r="G156" s="19"/>
      <c r="H156" s="16"/>
      <c r="I156" s="10"/>
      <c r="J156" s="10"/>
    </row>
    <row r="157" spans="1:10" x14ac:dyDescent="0.3">
      <c r="A157" s="10"/>
      <c r="B157" s="10"/>
      <c r="C157" s="16"/>
      <c r="D157" s="10"/>
      <c r="E157" s="10"/>
      <c r="F157" s="10"/>
      <c r="G157" s="19"/>
      <c r="H157" s="16"/>
      <c r="I157" s="10"/>
      <c r="J157" s="10"/>
    </row>
    <row r="158" spans="1:10" x14ac:dyDescent="0.3">
      <c r="A158" s="10"/>
      <c r="B158" s="10"/>
      <c r="C158" s="16"/>
      <c r="D158" s="10"/>
      <c r="E158" s="10"/>
      <c r="F158" s="10"/>
      <c r="G158" s="19"/>
      <c r="H158" s="16"/>
      <c r="I158" s="10"/>
      <c r="J158" s="10"/>
    </row>
    <row r="159" spans="1:10" x14ac:dyDescent="0.3">
      <c r="A159" s="10"/>
      <c r="B159" s="10"/>
      <c r="C159" s="16"/>
      <c r="D159" s="10"/>
      <c r="E159" s="10"/>
      <c r="F159" s="10"/>
      <c r="G159" s="19"/>
      <c r="H159" s="16"/>
      <c r="I159" s="10"/>
      <c r="J159" s="10"/>
    </row>
    <row r="160" spans="1:10" x14ac:dyDescent="0.3">
      <c r="A160" s="10"/>
      <c r="B160" s="10"/>
      <c r="C160" s="16"/>
      <c r="D160" s="10"/>
      <c r="E160" s="10"/>
      <c r="F160" s="10"/>
      <c r="G160" s="19"/>
      <c r="H160" s="16"/>
      <c r="I160" s="10"/>
      <c r="J160" s="10"/>
    </row>
    <row r="161" spans="1:10" x14ac:dyDescent="0.3">
      <c r="A161" s="10"/>
      <c r="B161" s="10"/>
      <c r="C161" s="16"/>
      <c r="D161" s="10"/>
      <c r="E161" s="10"/>
      <c r="F161" s="10"/>
      <c r="G161" s="19"/>
      <c r="H161" s="16"/>
      <c r="I161" s="10"/>
      <c r="J161" s="10"/>
    </row>
    <row r="162" spans="1:10" x14ac:dyDescent="0.3">
      <c r="A162" s="10"/>
      <c r="B162" s="10"/>
      <c r="C162" s="16"/>
      <c r="D162" s="10"/>
      <c r="E162" s="10"/>
      <c r="F162" s="10"/>
      <c r="G162" s="19"/>
      <c r="H162" s="16"/>
      <c r="I162" s="10"/>
      <c r="J162" s="10"/>
    </row>
    <row r="163" spans="1:10" x14ac:dyDescent="0.3">
      <c r="A163" s="10"/>
      <c r="B163" s="10"/>
      <c r="C163" s="16"/>
      <c r="D163" s="10"/>
      <c r="E163" s="10"/>
      <c r="F163" s="10"/>
      <c r="G163" s="19"/>
      <c r="H163" s="16"/>
      <c r="I163" s="10"/>
      <c r="J163" s="10"/>
    </row>
    <row r="164" spans="1:10" x14ac:dyDescent="0.3">
      <c r="A164" s="10"/>
      <c r="B164" s="10"/>
      <c r="C164" s="16"/>
      <c r="D164" s="10"/>
      <c r="E164" s="10"/>
      <c r="F164" s="10"/>
      <c r="G164" s="19"/>
      <c r="H164" s="16"/>
      <c r="I164" s="10"/>
      <c r="J164" s="10"/>
    </row>
    <row r="165" spans="1:10" x14ac:dyDescent="0.3">
      <c r="A165" s="10"/>
      <c r="B165" s="10"/>
      <c r="C165" s="16"/>
      <c r="D165" s="10"/>
      <c r="E165" s="10"/>
      <c r="F165" s="10"/>
      <c r="G165" s="19"/>
      <c r="H165" s="16"/>
      <c r="I165" s="10"/>
      <c r="J165" s="10"/>
    </row>
    <row r="166" spans="1:10" x14ac:dyDescent="0.3">
      <c r="A166" s="10"/>
      <c r="B166" s="10"/>
      <c r="C166" s="16"/>
      <c r="D166" s="10"/>
      <c r="E166" s="10"/>
      <c r="F166" s="10"/>
      <c r="G166" s="19"/>
      <c r="H166" s="16"/>
      <c r="I166" s="10"/>
      <c r="J166" s="10"/>
    </row>
    <row r="167" spans="1:10" x14ac:dyDescent="0.3">
      <c r="A167" s="10"/>
      <c r="B167" s="10"/>
      <c r="C167" s="16"/>
      <c r="D167" s="10"/>
      <c r="E167" s="10"/>
      <c r="F167" s="10"/>
      <c r="G167" s="19"/>
      <c r="H167" s="16"/>
      <c r="I167" s="10"/>
      <c r="J167" s="10"/>
    </row>
    <row r="168" spans="1:10" x14ac:dyDescent="0.3">
      <c r="A168" s="10"/>
      <c r="B168" s="10"/>
      <c r="C168" s="16"/>
      <c r="D168" s="10"/>
      <c r="E168" s="10"/>
      <c r="F168" s="10"/>
      <c r="G168" s="19"/>
      <c r="H168" s="16"/>
      <c r="I168" s="10"/>
      <c r="J168" s="10"/>
    </row>
    <row r="169" spans="1:10" x14ac:dyDescent="0.3">
      <c r="A169" s="10"/>
      <c r="B169" s="10"/>
      <c r="C169" s="16"/>
      <c r="D169" s="10"/>
      <c r="E169" s="10"/>
      <c r="F169" s="10"/>
      <c r="G169" s="19"/>
      <c r="H169" s="16"/>
      <c r="I169" s="10"/>
      <c r="J169" s="10"/>
    </row>
    <row r="170" spans="1:10" x14ac:dyDescent="0.3">
      <c r="A170" s="10"/>
      <c r="B170" s="10"/>
      <c r="C170" s="16"/>
      <c r="D170" s="10"/>
      <c r="E170" s="10"/>
      <c r="F170" s="10"/>
      <c r="G170" s="19"/>
      <c r="H170" s="16"/>
      <c r="I170" s="10"/>
      <c r="J170" s="10"/>
    </row>
    <row r="171" spans="1:10" x14ac:dyDescent="0.3">
      <c r="A171" s="10"/>
      <c r="B171" s="10"/>
      <c r="C171" s="16"/>
      <c r="D171" s="10"/>
      <c r="E171" s="10"/>
      <c r="F171" s="10"/>
      <c r="G171" s="19"/>
      <c r="H171" s="16"/>
      <c r="I171" s="10"/>
      <c r="J171" s="10"/>
    </row>
    <row r="172" spans="1:10" x14ac:dyDescent="0.3">
      <c r="A172" s="10"/>
      <c r="B172" s="10"/>
      <c r="C172" s="16"/>
      <c r="D172" s="10"/>
      <c r="E172" s="10"/>
      <c r="F172" s="10"/>
      <c r="G172" s="19"/>
      <c r="H172" s="16"/>
      <c r="I172" s="10"/>
      <c r="J172" s="10"/>
    </row>
    <row r="173" spans="1:10" x14ac:dyDescent="0.3">
      <c r="A173" s="10"/>
      <c r="B173" s="10"/>
      <c r="C173" s="16"/>
      <c r="D173" s="10"/>
      <c r="E173" s="10"/>
      <c r="F173" s="10"/>
      <c r="G173" s="19"/>
      <c r="H173" s="16"/>
      <c r="I173" s="10"/>
      <c r="J173" s="10"/>
    </row>
    <row r="174" spans="1:10" x14ac:dyDescent="0.3">
      <c r="A174" s="10"/>
      <c r="B174" s="10"/>
      <c r="C174" s="16"/>
      <c r="D174" s="10"/>
      <c r="E174" s="10"/>
      <c r="F174" s="10"/>
      <c r="G174" s="19"/>
      <c r="H174" s="16"/>
      <c r="I174" s="10"/>
      <c r="J174" s="10"/>
    </row>
    <row r="175" spans="1:10" x14ac:dyDescent="0.3">
      <c r="A175" s="10"/>
      <c r="B175" s="10"/>
      <c r="C175" s="16"/>
      <c r="D175" s="10"/>
      <c r="E175" s="10"/>
      <c r="F175" s="10"/>
      <c r="G175" s="19"/>
      <c r="H175" s="16"/>
      <c r="I175" s="10"/>
      <c r="J175" s="10"/>
    </row>
    <row r="176" spans="1:10" x14ac:dyDescent="0.3">
      <c r="A176" s="10"/>
      <c r="B176" s="10"/>
      <c r="C176" s="16"/>
      <c r="D176" s="10"/>
      <c r="E176" s="10"/>
      <c r="F176" s="10"/>
      <c r="G176" s="19"/>
      <c r="H176" s="16"/>
      <c r="I176" s="10"/>
      <c r="J176" s="10"/>
    </row>
    <row r="177" spans="1:10" x14ac:dyDescent="0.3">
      <c r="A177" s="10"/>
      <c r="B177" s="10"/>
      <c r="C177" s="16"/>
      <c r="D177" s="10"/>
      <c r="E177" s="10"/>
      <c r="F177" s="10"/>
      <c r="G177" s="19"/>
      <c r="H177" s="16"/>
      <c r="I177" s="10"/>
      <c r="J177" s="10"/>
    </row>
    <row r="178" spans="1:10" x14ac:dyDescent="0.3">
      <c r="A178" s="10"/>
      <c r="B178" s="10"/>
      <c r="C178" s="16"/>
      <c r="D178" s="10"/>
      <c r="E178" s="10"/>
      <c r="F178" s="10"/>
      <c r="G178" s="19"/>
      <c r="H178" s="16"/>
      <c r="I178" s="10"/>
      <c r="J178" s="10"/>
    </row>
    <row r="179" spans="1:10" x14ac:dyDescent="0.3">
      <c r="A179" s="10"/>
      <c r="B179" s="10"/>
      <c r="C179" s="16"/>
      <c r="D179" s="10"/>
      <c r="E179" s="10"/>
      <c r="F179" s="10"/>
      <c r="G179" s="19"/>
      <c r="H179" s="16"/>
      <c r="I179" s="10"/>
      <c r="J179" s="10"/>
    </row>
    <row r="180" spans="1:10" x14ac:dyDescent="0.3">
      <c r="A180" s="10"/>
      <c r="B180" s="10"/>
      <c r="C180" s="16"/>
      <c r="D180" s="10"/>
      <c r="E180" s="10"/>
      <c r="F180" s="10"/>
      <c r="G180" s="19"/>
      <c r="H180" s="16"/>
      <c r="I180" s="10"/>
      <c r="J180" s="10"/>
    </row>
    <row r="181" spans="1:10" x14ac:dyDescent="0.3">
      <c r="A181" s="10"/>
      <c r="B181" s="10"/>
      <c r="C181" s="16"/>
      <c r="D181" s="10"/>
      <c r="E181" s="10"/>
      <c r="F181" s="10"/>
      <c r="G181" s="19"/>
      <c r="H181" s="16"/>
      <c r="I181" s="10"/>
      <c r="J181" s="10"/>
    </row>
    <row r="182" spans="1:10" x14ac:dyDescent="0.3">
      <c r="A182" s="10"/>
      <c r="B182" s="10"/>
      <c r="C182" s="16"/>
      <c r="D182" s="10"/>
      <c r="E182" s="10"/>
      <c r="F182" s="10"/>
      <c r="G182" s="19"/>
      <c r="H182" s="16"/>
      <c r="I182" s="10"/>
      <c r="J182" s="10"/>
    </row>
    <row r="183" spans="1:10" x14ac:dyDescent="0.3">
      <c r="A183" s="10"/>
      <c r="B183" s="10"/>
      <c r="C183" s="16"/>
      <c r="D183" s="10"/>
      <c r="E183" s="10"/>
      <c r="F183" s="10"/>
      <c r="G183" s="19"/>
      <c r="H183" s="16"/>
      <c r="I183" s="10"/>
      <c r="J183" s="10"/>
    </row>
    <row r="184" spans="1:10" x14ac:dyDescent="0.3">
      <c r="A184" s="10"/>
      <c r="B184" s="10"/>
      <c r="C184" s="16"/>
      <c r="D184" s="10"/>
      <c r="E184" s="10"/>
      <c r="F184" s="10"/>
      <c r="G184" s="19"/>
      <c r="H184" s="16"/>
      <c r="I184" s="10"/>
      <c r="J184" s="10"/>
    </row>
    <row r="185" spans="1:10" x14ac:dyDescent="0.3">
      <c r="A185" s="10"/>
      <c r="B185" s="10"/>
      <c r="C185" s="16"/>
      <c r="D185" s="10"/>
      <c r="E185" s="10"/>
      <c r="F185" s="10"/>
      <c r="G185" s="19"/>
      <c r="H185" s="16"/>
      <c r="I185" s="10"/>
      <c r="J185" s="10"/>
    </row>
    <row r="186" spans="1:10" x14ac:dyDescent="0.3">
      <c r="A186" s="10"/>
      <c r="B186" s="10"/>
      <c r="C186" s="16"/>
      <c r="D186" s="10"/>
      <c r="E186" s="10"/>
      <c r="F186" s="10"/>
      <c r="G186" s="19"/>
      <c r="H186" s="16"/>
      <c r="I186" s="10"/>
      <c r="J186" s="10"/>
    </row>
    <row r="187" spans="1:10" x14ac:dyDescent="0.3">
      <c r="A187" s="10"/>
      <c r="B187" s="10"/>
      <c r="C187" s="16"/>
      <c r="D187" s="10"/>
      <c r="E187" s="10"/>
      <c r="F187" s="10"/>
      <c r="G187" s="19"/>
      <c r="H187" s="16"/>
      <c r="I187" s="10"/>
      <c r="J187" s="10"/>
    </row>
    <row r="188" spans="1:10" x14ac:dyDescent="0.3">
      <c r="A188" s="10"/>
      <c r="B188" s="10"/>
      <c r="C188" s="16"/>
      <c r="D188" s="10"/>
      <c r="E188" s="10"/>
      <c r="F188" s="10"/>
      <c r="G188" s="19"/>
      <c r="H188" s="16"/>
      <c r="I188" s="10"/>
      <c r="J188" s="10"/>
    </row>
    <row r="189" spans="1:10" x14ac:dyDescent="0.3">
      <c r="A189" s="10"/>
      <c r="B189" s="10"/>
      <c r="C189" s="16"/>
      <c r="D189" s="10"/>
      <c r="E189" s="10"/>
      <c r="F189" s="10"/>
      <c r="G189" s="19"/>
      <c r="H189" s="16"/>
      <c r="I189" s="10"/>
      <c r="J189" s="10"/>
    </row>
    <row r="190" spans="1:10" x14ac:dyDescent="0.3">
      <c r="A190" s="10"/>
      <c r="B190" s="10"/>
      <c r="C190" s="16"/>
      <c r="D190" s="10"/>
      <c r="E190" s="10"/>
      <c r="F190" s="10"/>
      <c r="G190" s="19"/>
      <c r="H190" s="16"/>
      <c r="I190" s="10"/>
      <c r="J190" s="10"/>
    </row>
    <row r="191" spans="1:10" x14ac:dyDescent="0.3">
      <c r="A191" s="10"/>
      <c r="B191" s="10"/>
      <c r="C191" s="16"/>
      <c r="D191" s="10"/>
      <c r="E191" s="10"/>
      <c r="F191" s="10"/>
      <c r="G191" s="19"/>
      <c r="H191" s="16"/>
      <c r="I191" s="10"/>
      <c r="J191" s="10"/>
    </row>
    <row r="192" spans="1:10" x14ac:dyDescent="0.3">
      <c r="A192" s="10"/>
      <c r="B192" s="10"/>
      <c r="C192" s="16"/>
      <c r="D192" s="10"/>
      <c r="E192" s="10"/>
      <c r="F192" s="10"/>
      <c r="G192" s="19"/>
      <c r="H192" s="16"/>
      <c r="I192" s="10"/>
      <c r="J192" s="10"/>
    </row>
    <row r="193" spans="1:10" x14ac:dyDescent="0.3">
      <c r="A193" s="10"/>
      <c r="B193" s="10"/>
      <c r="C193" s="16"/>
      <c r="D193" s="10"/>
      <c r="E193" s="10"/>
      <c r="F193" s="10"/>
      <c r="G193" s="19"/>
      <c r="H193" s="16"/>
      <c r="I193" s="10"/>
      <c r="J193" s="10"/>
    </row>
    <row r="194" spans="1:10" x14ac:dyDescent="0.3">
      <c r="A194" s="10"/>
      <c r="B194" s="10"/>
      <c r="C194" s="16"/>
      <c r="D194" s="10"/>
      <c r="E194" s="10"/>
      <c r="F194" s="10"/>
      <c r="G194" s="19"/>
      <c r="H194" s="16"/>
      <c r="I194" s="10"/>
      <c r="J194" s="10"/>
    </row>
    <row r="195" spans="1:10" x14ac:dyDescent="0.3">
      <c r="A195" s="10"/>
      <c r="B195" s="10"/>
      <c r="C195" s="16"/>
      <c r="D195" s="10"/>
      <c r="E195" s="10"/>
      <c r="F195" s="10"/>
      <c r="G195" s="19"/>
      <c r="H195" s="16"/>
      <c r="I195" s="10"/>
      <c r="J195" s="10"/>
    </row>
    <row r="196" spans="1:10" x14ac:dyDescent="0.3">
      <c r="A196" s="10"/>
      <c r="B196" s="10"/>
      <c r="C196" s="16"/>
      <c r="D196" s="10"/>
      <c r="E196" s="10"/>
      <c r="F196" s="10"/>
      <c r="G196" s="19"/>
      <c r="H196" s="16"/>
      <c r="I196" s="10"/>
      <c r="J196" s="10"/>
    </row>
    <row r="197" spans="1:10" x14ac:dyDescent="0.3">
      <c r="A197" s="10"/>
      <c r="B197" s="10"/>
      <c r="C197" s="16"/>
      <c r="D197" s="10"/>
      <c r="E197" s="10"/>
      <c r="F197" s="10"/>
      <c r="G197" s="19"/>
      <c r="H197" s="16"/>
      <c r="I197" s="10"/>
      <c r="J197" s="10"/>
    </row>
    <row r="198" spans="1:10" x14ac:dyDescent="0.3">
      <c r="A198" s="10"/>
      <c r="B198" s="10"/>
      <c r="C198" s="16"/>
      <c r="D198" s="10"/>
      <c r="E198" s="10"/>
      <c r="F198" s="10"/>
      <c r="G198" s="19"/>
      <c r="H198" s="16"/>
      <c r="I198" s="10"/>
      <c r="J198" s="10"/>
    </row>
    <row r="199" spans="1:10" x14ac:dyDescent="0.3">
      <c r="A199" s="10"/>
      <c r="B199" s="10"/>
      <c r="C199" s="16"/>
      <c r="D199" s="10"/>
      <c r="E199" s="10"/>
      <c r="F199" s="10"/>
      <c r="G199" s="19"/>
      <c r="H199" s="16"/>
      <c r="I199" s="10"/>
      <c r="J199" s="10"/>
    </row>
    <row r="200" spans="1:10" x14ac:dyDescent="0.3">
      <c r="A200" s="10"/>
      <c r="B200" s="10"/>
      <c r="C200" s="16"/>
      <c r="D200" s="10"/>
      <c r="E200" s="10"/>
      <c r="F200" s="10"/>
      <c r="G200" s="19"/>
      <c r="H200" s="16"/>
      <c r="I200" s="10"/>
      <c r="J200" s="10"/>
    </row>
    <row r="201" spans="1:10" x14ac:dyDescent="0.3">
      <c r="A201" s="10"/>
      <c r="B201" s="10"/>
      <c r="C201" s="16"/>
      <c r="D201" s="10"/>
      <c r="E201" s="10"/>
      <c r="F201" s="10"/>
      <c r="G201" s="19"/>
      <c r="H201" s="16"/>
      <c r="I201" s="10"/>
      <c r="J201" s="10"/>
    </row>
    <row r="202" spans="1:10" x14ac:dyDescent="0.3">
      <c r="A202" s="10"/>
      <c r="B202" s="10"/>
      <c r="C202" s="16"/>
      <c r="D202" s="10"/>
      <c r="E202" s="10"/>
      <c r="F202" s="10"/>
      <c r="G202" s="19"/>
      <c r="H202" s="16"/>
      <c r="I202" s="10"/>
      <c r="J202" s="10"/>
    </row>
    <row r="203" spans="1:10" x14ac:dyDescent="0.3">
      <c r="A203" s="10"/>
      <c r="B203" s="10"/>
      <c r="C203" s="16"/>
      <c r="D203" s="10"/>
      <c r="E203" s="10"/>
      <c r="F203" s="10"/>
      <c r="G203" s="19"/>
      <c r="H203" s="16"/>
      <c r="I203" s="10"/>
      <c r="J203" s="10"/>
    </row>
    <row r="204" spans="1:10" x14ac:dyDescent="0.3">
      <c r="A204" s="10"/>
      <c r="B204" s="10"/>
      <c r="C204" s="16"/>
      <c r="D204" s="10"/>
      <c r="E204" s="10"/>
      <c r="F204" s="10"/>
      <c r="G204" s="19"/>
      <c r="H204" s="16"/>
      <c r="I204" s="10"/>
      <c r="J204" s="10"/>
    </row>
    <row r="205" spans="1:10" x14ac:dyDescent="0.3">
      <c r="A205" s="10"/>
      <c r="B205" s="10"/>
      <c r="C205" s="16"/>
      <c r="D205" s="10"/>
      <c r="E205" s="10"/>
      <c r="F205" s="10"/>
      <c r="G205" s="19"/>
      <c r="H205" s="16"/>
      <c r="I205" s="10"/>
      <c r="J205" s="10"/>
    </row>
    <row r="206" spans="1:10" x14ac:dyDescent="0.3">
      <c r="A206" s="10"/>
      <c r="B206" s="10"/>
      <c r="C206" s="16"/>
      <c r="D206" s="10"/>
      <c r="E206" s="10"/>
      <c r="F206" s="10"/>
      <c r="G206" s="19"/>
      <c r="H206" s="16"/>
      <c r="I206" s="10"/>
      <c r="J206" s="10"/>
    </row>
    <row r="207" spans="1:10" x14ac:dyDescent="0.3">
      <c r="A207" s="10"/>
      <c r="B207" s="10"/>
      <c r="C207" s="16"/>
      <c r="D207" s="10"/>
      <c r="E207" s="10"/>
      <c r="F207" s="10"/>
      <c r="G207" s="19"/>
      <c r="H207" s="16"/>
      <c r="I207" s="10"/>
      <c r="J207" s="10"/>
    </row>
    <row r="208" spans="1:10" x14ac:dyDescent="0.3">
      <c r="A208" s="10"/>
      <c r="B208" s="10"/>
      <c r="C208" s="16"/>
      <c r="D208" s="10"/>
      <c r="E208" s="10"/>
      <c r="F208" s="10"/>
      <c r="G208" s="19"/>
      <c r="H208" s="16"/>
      <c r="I208" s="10"/>
      <c r="J208" s="10"/>
    </row>
    <row r="209" spans="1:10" x14ac:dyDescent="0.3">
      <c r="A209" s="10"/>
      <c r="B209" s="10"/>
      <c r="C209" s="16"/>
      <c r="D209" s="10"/>
      <c r="E209" s="10"/>
      <c r="F209" s="10"/>
      <c r="G209" s="19"/>
      <c r="H209" s="16"/>
      <c r="I209" s="10"/>
      <c r="J209" s="10"/>
    </row>
    <row r="210" spans="1:10" x14ac:dyDescent="0.3">
      <c r="A210" s="10"/>
      <c r="B210" s="10"/>
      <c r="C210" s="16"/>
      <c r="D210" s="10"/>
      <c r="E210" s="10"/>
      <c r="F210" s="10"/>
      <c r="G210" s="19"/>
      <c r="H210" s="16"/>
      <c r="I210" s="10"/>
      <c r="J210" s="10"/>
    </row>
    <row r="211" spans="1:10" x14ac:dyDescent="0.3">
      <c r="A211" s="10"/>
      <c r="B211" s="10"/>
      <c r="C211" s="16"/>
      <c r="D211" s="10"/>
      <c r="E211" s="10"/>
      <c r="F211" s="10"/>
      <c r="G211" s="19"/>
      <c r="H211" s="16"/>
      <c r="I211" s="10"/>
      <c r="J211" s="10"/>
    </row>
    <row r="212" spans="1:10" x14ac:dyDescent="0.3">
      <c r="A212" s="10"/>
      <c r="B212" s="10"/>
      <c r="C212" s="16"/>
      <c r="D212" s="10"/>
      <c r="E212" s="10"/>
      <c r="F212" s="10"/>
      <c r="G212" s="19"/>
      <c r="H212" s="16"/>
      <c r="I212" s="10"/>
      <c r="J212" s="10"/>
    </row>
    <row r="213" spans="1:10" x14ac:dyDescent="0.3">
      <c r="A213" s="10"/>
      <c r="B213" s="10"/>
      <c r="C213" s="16"/>
      <c r="D213" s="10"/>
      <c r="E213" s="10"/>
      <c r="F213" s="10"/>
      <c r="G213" s="19"/>
      <c r="H213" s="16"/>
      <c r="I213" s="10"/>
      <c r="J213" s="10"/>
    </row>
    <row r="214" spans="1:10" x14ac:dyDescent="0.3">
      <c r="A214" s="10"/>
      <c r="B214" s="10"/>
      <c r="C214" s="16"/>
      <c r="D214" s="10"/>
      <c r="E214" s="10"/>
      <c r="F214" s="10"/>
      <c r="G214" s="19"/>
      <c r="H214" s="16"/>
      <c r="I214" s="10"/>
      <c r="J214" s="10"/>
    </row>
    <row r="215" spans="1:10" x14ac:dyDescent="0.3">
      <c r="A215" s="10"/>
      <c r="B215" s="10"/>
      <c r="C215" s="16"/>
      <c r="D215" s="10"/>
      <c r="E215" s="10"/>
      <c r="F215" s="10"/>
      <c r="G215" s="19"/>
      <c r="H215" s="16"/>
      <c r="I215" s="10"/>
      <c r="J215" s="10"/>
    </row>
    <row r="216" spans="1:10" x14ac:dyDescent="0.3">
      <c r="A216" s="10"/>
      <c r="B216" s="10"/>
      <c r="C216" s="16"/>
      <c r="D216" s="10"/>
      <c r="E216" s="10"/>
      <c r="F216" s="10"/>
      <c r="G216" s="19"/>
      <c r="H216" s="16"/>
      <c r="I216" s="10"/>
      <c r="J216" s="10"/>
    </row>
    <row r="217" spans="1:10" x14ac:dyDescent="0.3">
      <c r="A217" s="10"/>
      <c r="B217" s="10"/>
      <c r="C217" s="16"/>
      <c r="D217" s="10"/>
      <c r="E217" s="10"/>
      <c r="F217" s="10"/>
      <c r="G217" s="19"/>
      <c r="H217" s="16"/>
      <c r="I217" s="10"/>
      <c r="J217" s="10"/>
    </row>
    <row r="218" spans="1:10" x14ac:dyDescent="0.3">
      <c r="A218" s="10"/>
      <c r="B218" s="10"/>
      <c r="C218" s="16"/>
      <c r="D218" s="10"/>
      <c r="E218" s="10"/>
      <c r="F218" s="10"/>
      <c r="G218" s="19"/>
      <c r="H218" s="16"/>
      <c r="I218" s="10"/>
      <c r="J218" s="10"/>
    </row>
    <row r="219" spans="1:10" x14ac:dyDescent="0.3">
      <c r="A219" s="10"/>
      <c r="B219" s="10"/>
      <c r="C219" s="16"/>
      <c r="D219" s="10"/>
      <c r="E219" s="10"/>
      <c r="F219" s="10"/>
      <c r="G219" s="19"/>
      <c r="H219" s="16"/>
      <c r="I219" s="10"/>
      <c r="J219" s="10"/>
    </row>
    <row r="220" spans="1:10" x14ac:dyDescent="0.3">
      <c r="A220" s="10"/>
      <c r="B220" s="10"/>
      <c r="C220" s="16"/>
      <c r="D220" s="10"/>
      <c r="E220" s="10"/>
      <c r="F220" s="10"/>
      <c r="G220" s="19"/>
      <c r="H220" s="16"/>
      <c r="I220" s="10"/>
      <c r="J220" s="10"/>
    </row>
    <row r="221" spans="1:10" x14ac:dyDescent="0.3">
      <c r="A221" s="10"/>
      <c r="B221" s="10"/>
      <c r="C221" s="16"/>
      <c r="D221" s="10"/>
      <c r="E221" s="10"/>
      <c r="F221" s="10"/>
      <c r="G221" s="19"/>
      <c r="H221" s="16"/>
      <c r="I221" s="10"/>
      <c r="J221" s="10"/>
    </row>
    <row r="222" spans="1:10" x14ac:dyDescent="0.3">
      <c r="A222" s="10"/>
      <c r="B222" s="10"/>
      <c r="C222" s="16"/>
      <c r="D222" s="10"/>
      <c r="E222" s="10"/>
      <c r="F222" s="10"/>
      <c r="G222" s="19"/>
      <c r="H222" s="16"/>
      <c r="I222" s="10"/>
      <c r="J222" s="10"/>
    </row>
    <row r="223" spans="1:10" x14ac:dyDescent="0.3">
      <c r="A223" s="10"/>
      <c r="B223" s="10"/>
      <c r="C223" s="16"/>
      <c r="D223" s="10"/>
      <c r="E223" s="10"/>
      <c r="F223" s="10"/>
      <c r="G223" s="19"/>
      <c r="H223" s="16"/>
      <c r="I223" s="10"/>
      <c r="J223" s="10"/>
    </row>
    <row r="224" spans="1:10" x14ac:dyDescent="0.3">
      <c r="A224" s="10"/>
      <c r="B224" s="10"/>
      <c r="C224" s="16"/>
      <c r="D224" s="10"/>
      <c r="E224" s="10"/>
      <c r="F224" s="10"/>
      <c r="G224" s="19"/>
      <c r="H224" s="16"/>
      <c r="I224" s="10"/>
      <c r="J224" s="10"/>
    </row>
    <row r="225" spans="1:10" x14ac:dyDescent="0.3">
      <c r="A225" s="10"/>
      <c r="B225" s="10"/>
      <c r="C225" s="16"/>
      <c r="D225" s="10"/>
      <c r="E225" s="10"/>
      <c r="F225" s="10"/>
      <c r="G225" s="19"/>
      <c r="H225" s="16"/>
      <c r="I225" s="10"/>
      <c r="J225" s="10"/>
    </row>
    <row r="226" spans="1:10" x14ac:dyDescent="0.3">
      <c r="A226" s="10"/>
      <c r="B226" s="10"/>
      <c r="C226" s="16"/>
      <c r="D226" s="10"/>
      <c r="E226" s="10"/>
      <c r="F226" s="10"/>
      <c r="G226" s="19"/>
      <c r="H226" s="16"/>
      <c r="I226" s="10"/>
      <c r="J226" s="10"/>
    </row>
    <row r="227" spans="1:10" x14ac:dyDescent="0.3">
      <c r="A227" s="10"/>
      <c r="B227" s="10"/>
      <c r="C227" s="16"/>
      <c r="D227" s="10"/>
      <c r="E227" s="10"/>
      <c r="F227" s="10"/>
      <c r="G227" s="19"/>
      <c r="H227" s="16"/>
      <c r="I227" s="10"/>
      <c r="J227" s="10"/>
    </row>
    <row r="228" spans="1:10" x14ac:dyDescent="0.3">
      <c r="A228" s="10"/>
      <c r="B228" s="10"/>
      <c r="C228" s="16"/>
      <c r="D228" s="10"/>
      <c r="E228" s="10"/>
      <c r="F228" s="10"/>
      <c r="G228" s="19"/>
      <c r="H228" s="16"/>
      <c r="I228" s="10"/>
      <c r="J228" s="10"/>
    </row>
    <row r="229" spans="1:10" x14ac:dyDescent="0.3">
      <c r="A229" s="10"/>
      <c r="B229" s="10"/>
      <c r="C229" s="16"/>
      <c r="D229" s="10"/>
      <c r="E229" s="10"/>
      <c r="F229" s="10"/>
      <c r="G229" s="19"/>
      <c r="H229" s="16"/>
      <c r="I229" s="10"/>
      <c r="J229" s="10"/>
    </row>
    <row r="230" spans="1:10" x14ac:dyDescent="0.3">
      <c r="A230" s="10"/>
      <c r="B230" s="10"/>
      <c r="C230" s="16"/>
      <c r="D230" s="10"/>
      <c r="E230" s="10"/>
      <c r="F230" s="10"/>
      <c r="G230" s="19"/>
      <c r="H230" s="16"/>
      <c r="I230" s="10"/>
      <c r="J230" s="10"/>
    </row>
    <row r="231" spans="1:10" x14ac:dyDescent="0.3">
      <c r="A231" s="10"/>
      <c r="B231" s="10"/>
      <c r="C231" s="16"/>
      <c r="D231" s="10"/>
      <c r="E231" s="10"/>
      <c r="F231" s="10"/>
      <c r="G231" s="19"/>
      <c r="H231" s="16"/>
      <c r="I231" s="10"/>
      <c r="J231" s="10"/>
    </row>
    <row r="232" spans="1:10" x14ac:dyDescent="0.3">
      <c r="A232" s="10"/>
      <c r="B232" s="10"/>
      <c r="C232" s="16"/>
      <c r="D232" s="10"/>
      <c r="E232" s="10"/>
      <c r="F232" s="10"/>
      <c r="G232" s="19"/>
      <c r="H232" s="16"/>
      <c r="I232" s="10"/>
      <c r="J232" s="10"/>
    </row>
    <row r="233" spans="1:10" x14ac:dyDescent="0.3">
      <c r="A233" s="10"/>
      <c r="B233" s="10"/>
      <c r="C233" s="16"/>
      <c r="D233" s="10"/>
      <c r="E233" s="10"/>
      <c r="F233" s="10"/>
      <c r="G233" s="19"/>
      <c r="H233" s="16"/>
      <c r="I233" s="10"/>
      <c r="J233" s="10"/>
    </row>
    <row r="234" spans="1:10" x14ac:dyDescent="0.3">
      <c r="A234" s="10"/>
      <c r="B234" s="10"/>
      <c r="C234" s="16"/>
      <c r="D234" s="10"/>
      <c r="E234" s="10"/>
      <c r="F234" s="10"/>
      <c r="G234" s="19"/>
      <c r="H234" s="16"/>
      <c r="I234" s="10"/>
      <c r="J234" s="10"/>
    </row>
    <row r="235" spans="1:10" x14ac:dyDescent="0.3">
      <c r="A235" s="10"/>
      <c r="B235" s="10"/>
      <c r="C235" s="16"/>
      <c r="D235" s="10"/>
      <c r="E235" s="10"/>
      <c r="F235" s="10"/>
      <c r="G235" s="19"/>
      <c r="H235" s="16"/>
      <c r="I235" s="10"/>
      <c r="J235" s="10"/>
    </row>
    <row r="236" spans="1:10" x14ac:dyDescent="0.3">
      <c r="A236" s="10"/>
      <c r="B236" s="10"/>
      <c r="C236" s="16"/>
      <c r="D236" s="10"/>
      <c r="E236" s="10"/>
      <c r="F236" s="10"/>
      <c r="G236" s="19"/>
      <c r="H236" s="16"/>
      <c r="I236" s="10"/>
      <c r="J236" s="10"/>
    </row>
    <row r="237" spans="1:10" x14ac:dyDescent="0.3">
      <c r="A237" s="10"/>
      <c r="B237" s="10"/>
      <c r="C237" s="16"/>
      <c r="D237" s="10"/>
      <c r="E237" s="10"/>
      <c r="F237" s="10"/>
      <c r="G237" s="19"/>
      <c r="H237" s="16"/>
      <c r="I237" s="10"/>
      <c r="J237" s="10"/>
    </row>
    <row r="238" spans="1:10" x14ac:dyDescent="0.3">
      <c r="A238" s="10"/>
      <c r="B238" s="10"/>
      <c r="C238" s="16"/>
      <c r="D238" s="10"/>
      <c r="E238" s="10"/>
      <c r="F238" s="10"/>
      <c r="G238" s="19"/>
      <c r="H238" s="16"/>
      <c r="I238" s="10"/>
      <c r="J238" s="10"/>
    </row>
    <row r="239" spans="1:10" x14ac:dyDescent="0.3">
      <c r="A239" s="10"/>
      <c r="B239" s="10"/>
      <c r="C239" s="16"/>
      <c r="D239" s="10"/>
      <c r="E239" s="10"/>
      <c r="F239" s="10"/>
      <c r="G239" s="19"/>
      <c r="H239" s="16"/>
      <c r="I239" s="10"/>
      <c r="J239" s="10"/>
    </row>
    <row r="240" spans="1:10" x14ac:dyDescent="0.3">
      <c r="A240" s="10"/>
      <c r="B240" s="10"/>
      <c r="C240" s="16"/>
      <c r="D240" s="10"/>
      <c r="E240" s="10"/>
      <c r="F240" s="10"/>
      <c r="G240" s="19"/>
      <c r="H240" s="16"/>
      <c r="I240" s="10"/>
      <c r="J240" s="10"/>
    </row>
    <row r="241" spans="1:10" x14ac:dyDescent="0.3">
      <c r="A241" s="10"/>
      <c r="B241" s="10"/>
      <c r="C241" s="16"/>
      <c r="D241" s="10"/>
      <c r="E241" s="10"/>
      <c r="F241" s="10"/>
      <c r="G241" s="19"/>
      <c r="H241" s="16"/>
      <c r="I241" s="10"/>
      <c r="J241" s="10"/>
    </row>
    <row r="242" spans="1:10" x14ac:dyDescent="0.3">
      <c r="A242" s="10"/>
      <c r="B242" s="10"/>
      <c r="C242" s="16"/>
      <c r="D242" s="10"/>
      <c r="E242" s="10"/>
      <c r="F242" s="10"/>
      <c r="G242" s="19"/>
      <c r="H242" s="16"/>
      <c r="I242" s="10"/>
      <c r="J242" s="10"/>
    </row>
    <row r="243" spans="1:10" x14ac:dyDescent="0.3">
      <c r="A243" s="10"/>
      <c r="B243" s="10"/>
      <c r="C243" s="16"/>
      <c r="D243" s="10"/>
      <c r="E243" s="10"/>
      <c r="F243" s="10"/>
      <c r="G243" s="19"/>
      <c r="H243" s="16"/>
      <c r="I243" s="10"/>
      <c r="J243" s="10"/>
    </row>
    <row r="244" spans="1:10" x14ac:dyDescent="0.3">
      <c r="A244" s="10"/>
      <c r="B244" s="10"/>
      <c r="C244" s="16"/>
      <c r="D244" s="10"/>
      <c r="E244" s="10"/>
      <c r="F244" s="10"/>
      <c r="G244" s="19"/>
      <c r="H244" s="16"/>
      <c r="I244" s="10"/>
      <c r="J244" s="10"/>
    </row>
    <row r="245" spans="1:10" x14ac:dyDescent="0.3">
      <c r="A245" s="10"/>
      <c r="B245" s="10"/>
      <c r="C245" s="16"/>
      <c r="D245" s="10"/>
      <c r="E245" s="10"/>
      <c r="F245" s="10"/>
      <c r="G245" s="19"/>
      <c r="H245" s="16"/>
      <c r="I245" s="10"/>
      <c r="J245" s="10"/>
    </row>
    <row r="246" spans="1:10" x14ac:dyDescent="0.3">
      <c r="A246" s="10"/>
      <c r="B246" s="10"/>
      <c r="C246" s="16"/>
      <c r="D246" s="10"/>
      <c r="E246" s="10"/>
      <c r="F246" s="10"/>
      <c r="G246" s="19"/>
      <c r="H246" s="16"/>
      <c r="I246" s="10"/>
      <c r="J246" s="10"/>
    </row>
    <row r="247" spans="1:10" x14ac:dyDescent="0.3">
      <c r="A247" s="10"/>
      <c r="B247" s="10"/>
      <c r="C247" s="16"/>
      <c r="D247" s="10"/>
      <c r="E247" s="10"/>
      <c r="F247" s="10"/>
      <c r="G247" s="19"/>
      <c r="H247" s="16"/>
      <c r="I247" s="10"/>
      <c r="J247" s="10"/>
    </row>
    <row r="248" spans="1:10" x14ac:dyDescent="0.3">
      <c r="A248" s="10"/>
      <c r="B248" s="10"/>
      <c r="C248" s="16"/>
      <c r="D248" s="10"/>
      <c r="E248" s="10"/>
      <c r="F248" s="10"/>
      <c r="G248" s="19"/>
      <c r="H248" s="16"/>
      <c r="I248" s="10"/>
      <c r="J248" s="10"/>
    </row>
    <row r="249" spans="1:10" x14ac:dyDescent="0.3">
      <c r="A249" s="10"/>
      <c r="B249" s="10"/>
      <c r="C249" s="16"/>
      <c r="D249" s="10"/>
      <c r="E249" s="10"/>
      <c r="F249" s="10"/>
      <c r="G249" s="19"/>
      <c r="H249" s="16"/>
      <c r="I249" s="10"/>
      <c r="J249" s="10"/>
    </row>
    <row r="250" spans="1:10" x14ac:dyDescent="0.3">
      <c r="A250" s="10"/>
      <c r="B250" s="10"/>
      <c r="C250" s="16"/>
      <c r="D250" s="10"/>
      <c r="E250" s="10"/>
      <c r="F250" s="10"/>
      <c r="G250" s="19"/>
      <c r="H250" s="16"/>
      <c r="I250" s="10"/>
      <c r="J250" s="10"/>
    </row>
    <row r="251" spans="1:10" x14ac:dyDescent="0.3">
      <c r="A251" s="10"/>
      <c r="B251" s="10"/>
      <c r="C251" s="16"/>
      <c r="D251" s="10"/>
      <c r="E251" s="10"/>
      <c r="F251" s="10"/>
      <c r="G251" s="19"/>
      <c r="H251" s="16"/>
      <c r="I251" s="10"/>
      <c r="J251" s="10"/>
    </row>
    <row r="252" spans="1:10" x14ac:dyDescent="0.3">
      <c r="A252" s="10"/>
      <c r="B252" s="10"/>
      <c r="C252" s="16"/>
      <c r="D252" s="10"/>
      <c r="E252" s="10"/>
      <c r="F252" s="10"/>
      <c r="G252" s="19"/>
      <c r="H252" s="16"/>
      <c r="I252" s="10"/>
      <c r="J252" s="10"/>
    </row>
    <row r="253" spans="1:10" x14ac:dyDescent="0.3">
      <c r="A253" s="10"/>
      <c r="B253" s="10"/>
      <c r="C253" s="16"/>
      <c r="D253" s="10"/>
      <c r="E253" s="10"/>
      <c r="F253" s="10"/>
      <c r="G253" s="19"/>
      <c r="H253" s="16"/>
      <c r="I253" s="10"/>
      <c r="J253" s="10"/>
    </row>
    <row r="254" spans="1:10" x14ac:dyDescent="0.3">
      <c r="A254" s="10"/>
      <c r="B254" s="10"/>
      <c r="C254" s="16"/>
      <c r="D254" s="10"/>
      <c r="E254" s="10"/>
      <c r="F254" s="10"/>
      <c r="G254" s="19"/>
      <c r="H254" s="16"/>
      <c r="I254" s="10"/>
      <c r="J254" s="10"/>
    </row>
    <row r="255" spans="1:10" x14ac:dyDescent="0.3">
      <c r="A255" s="10"/>
      <c r="B255" s="10"/>
      <c r="C255" s="16"/>
      <c r="D255" s="10"/>
      <c r="E255" s="10"/>
      <c r="F255" s="10"/>
      <c r="G255" s="19"/>
      <c r="H255" s="16"/>
      <c r="I255" s="10"/>
      <c r="J255" s="10"/>
    </row>
    <row r="256" spans="1:10" x14ac:dyDescent="0.3">
      <c r="A256" s="10"/>
      <c r="B256" s="10"/>
      <c r="C256" s="16"/>
      <c r="D256" s="10"/>
      <c r="E256" s="10"/>
      <c r="F256" s="10"/>
      <c r="G256" s="19"/>
      <c r="H256" s="16"/>
      <c r="I256" s="10"/>
      <c r="J256" s="10"/>
    </row>
    <row r="257" spans="1:10" x14ac:dyDescent="0.3">
      <c r="A257" s="10"/>
      <c r="B257" s="10"/>
      <c r="C257" s="16"/>
      <c r="D257" s="10"/>
      <c r="E257" s="10"/>
      <c r="F257" s="10"/>
      <c r="G257" s="19"/>
      <c r="H257" s="16"/>
      <c r="I257" s="10"/>
      <c r="J257" s="10"/>
    </row>
    <row r="258" spans="1:10" x14ac:dyDescent="0.3">
      <c r="A258" s="10"/>
      <c r="B258" s="10"/>
      <c r="C258" s="16"/>
      <c r="D258" s="10"/>
      <c r="E258" s="10"/>
      <c r="F258" s="10"/>
      <c r="G258" s="19"/>
      <c r="H258" s="16"/>
      <c r="I258" s="10"/>
      <c r="J258" s="10"/>
    </row>
    <row r="259" spans="1:10" x14ac:dyDescent="0.3">
      <c r="A259" s="10"/>
      <c r="B259" s="10"/>
      <c r="C259" s="16"/>
      <c r="D259" s="10"/>
      <c r="E259" s="10"/>
      <c r="F259" s="10"/>
      <c r="G259" s="19"/>
      <c r="H259" s="16"/>
      <c r="I259" s="10"/>
      <c r="J259" s="10"/>
    </row>
    <row r="260" spans="1:10" x14ac:dyDescent="0.3">
      <c r="A260" s="10"/>
      <c r="B260" s="10"/>
      <c r="C260" s="16"/>
      <c r="D260" s="10"/>
      <c r="E260" s="10"/>
      <c r="F260" s="10"/>
      <c r="G260" s="19"/>
      <c r="H260" s="16"/>
      <c r="I260" s="10"/>
      <c r="J260" s="10"/>
    </row>
    <row r="261" spans="1:10" x14ac:dyDescent="0.3">
      <c r="A261" s="10"/>
      <c r="B261" s="10"/>
      <c r="C261" s="16"/>
      <c r="D261" s="10"/>
      <c r="E261" s="10"/>
      <c r="F261" s="10"/>
      <c r="G261" s="19"/>
      <c r="H261" s="16"/>
      <c r="I261" s="10"/>
      <c r="J261" s="10"/>
    </row>
    <row r="262" spans="1:10" x14ac:dyDescent="0.3">
      <c r="A262" s="10"/>
      <c r="B262" s="10"/>
      <c r="C262" s="16"/>
      <c r="D262" s="10"/>
      <c r="E262" s="10"/>
      <c r="F262" s="10"/>
      <c r="G262" s="19"/>
      <c r="H262" s="16"/>
      <c r="I262" s="10"/>
      <c r="J262" s="10"/>
    </row>
    <row r="263" spans="1:10" x14ac:dyDescent="0.3">
      <c r="A263" s="10"/>
      <c r="B263" s="10"/>
      <c r="C263" s="16"/>
      <c r="D263" s="10"/>
      <c r="E263" s="10"/>
      <c r="F263" s="10"/>
      <c r="G263" s="19"/>
      <c r="H263" s="16"/>
      <c r="I263" s="10"/>
      <c r="J263" s="10"/>
    </row>
    <row r="264" spans="1:10" x14ac:dyDescent="0.3">
      <c r="A264" s="10"/>
      <c r="B264" s="10"/>
      <c r="C264" s="16"/>
      <c r="D264" s="10"/>
      <c r="E264" s="10"/>
      <c r="F264" s="10"/>
      <c r="G264" s="19"/>
      <c r="H264" s="16"/>
      <c r="I264" s="10"/>
      <c r="J264" s="10"/>
    </row>
    <row r="265" spans="1:10" x14ac:dyDescent="0.3">
      <c r="A265" s="10"/>
      <c r="B265" s="10"/>
      <c r="C265" s="16"/>
      <c r="D265" s="10"/>
      <c r="E265" s="10"/>
      <c r="F265" s="10"/>
      <c r="G265" s="19"/>
      <c r="H265" s="16"/>
      <c r="I265" s="10"/>
      <c r="J265" s="10"/>
    </row>
    <row r="266" spans="1:10" x14ac:dyDescent="0.3">
      <c r="A266" s="10"/>
      <c r="B266" s="10"/>
      <c r="C266" s="16"/>
      <c r="D266" s="10"/>
      <c r="E266" s="10"/>
      <c r="F266" s="10"/>
      <c r="G266" s="19"/>
      <c r="H266" s="16"/>
      <c r="I266" s="10"/>
      <c r="J266" s="10"/>
    </row>
    <row r="267" spans="1:10" x14ac:dyDescent="0.3">
      <c r="A267" s="10"/>
      <c r="B267" s="10"/>
      <c r="C267" s="16"/>
      <c r="D267" s="10"/>
      <c r="E267" s="10"/>
      <c r="F267" s="10"/>
      <c r="G267" s="19"/>
      <c r="H267" s="16"/>
      <c r="I267" s="10"/>
      <c r="J267" s="10"/>
    </row>
    <row r="268" spans="1:10" x14ac:dyDescent="0.3">
      <c r="A268" s="10"/>
      <c r="B268" s="10"/>
      <c r="C268" s="16"/>
      <c r="D268" s="10"/>
      <c r="E268" s="10"/>
      <c r="F268" s="10"/>
      <c r="G268" s="19"/>
      <c r="H268" s="16"/>
      <c r="I268" s="10"/>
      <c r="J268" s="10"/>
    </row>
    <row r="269" spans="1:10" x14ac:dyDescent="0.3">
      <c r="A269" s="10"/>
      <c r="B269" s="10"/>
      <c r="C269" s="16"/>
      <c r="D269" s="10"/>
      <c r="E269" s="10"/>
      <c r="F269" s="10"/>
      <c r="G269" s="19"/>
      <c r="H269" s="16"/>
      <c r="I269" s="10"/>
      <c r="J269" s="10"/>
    </row>
    <row r="270" spans="1:10" x14ac:dyDescent="0.3">
      <c r="A270" s="10"/>
      <c r="B270" s="10"/>
      <c r="C270" s="16"/>
      <c r="D270" s="10"/>
      <c r="E270" s="10"/>
      <c r="F270" s="10"/>
      <c r="G270" s="19"/>
      <c r="H270" s="16"/>
      <c r="I270" s="10"/>
      <c r="J270" s="10"/>
    </row>
    <row r="271" spans="1:10" x14ac:dyDescent="0.3">
      <c r="A271" s="10"/>
      <c r="B271" s="10"/>
      <c r="C271" s="16"/>
      <c r="D271" s="10"/>
      <c r="E271" s="10"/>
      <c r="F271" s="10"/>
      <c r="G271" s="19"/>
      <c r="H271" s="16"/>
      <c r="I271" s="10"/>
      <c r="J271" s="10"/>
    </row>
    <row r="272" spans="1:10" x14ac:dyDescent="0.3">
      <c r="A272" s="10"/>
      <c r="B272" s="10"/>
      <c r="C272" s="16"/>
      <c r="D272" s="10"/>
      <c r="E272" s="10"/>
      <c r="F272" s="10"/>
      <c r="G272" s="19"/>
      <c r="H272" s="16"/>
      <c r="I272" s="10"/>
      <c r="J272" s="10"/>
    </row>
    <row r="273" spans="1:10" x14ac:dyDescent="0.3">
      <c r="A273" s="10"/>
      <c r="B273" s="10"/>
      <c r="C273" s="16"/>
      <c r="D273" s="10"/>
      <c r="E273" s="10"/>
      <c r="F273" s="10"/>
      <c r="G273" s="19"/>
      <c r="H273" s="16"/>
      <c r="I273" s="10"/>
      <c r="J273" s="10"/>
    </row>
    <row r="274" spans="1:10" x14ac:dyDescent="0.3">
      <c r="A274" s="10"/>
      <c r="B274" s="10"/>
      <c r="C274" s="16"/>
      <c r="D274" s="10"/>
      <c r="E274" s="10"/>
      <c r="F274" s="10"/>
      <c r="G274" s="19"/>
      <c r="H274" s="16"/>
      <c r="I274" s="10"/>
      <c r="J274" s="10"/>
    </row>
    <row r="275" spans="1:10" x14ac:dyDescent="0.3">
      <c r="A275" s="10"/>
      <c r="B275" s="10"/>
      <c r="C275" s="16"/>
      <c r="D275" s="10"/>
      <c r="E275" s="10"/>
      <c r="F275" s="10"/>
      <c r="G275" s="19"/>
      <c r="H275" s="16"/>
      <c r="I275" s="10"/>
      <c r="J275" s="10"/>
    </row>
    <row r="276" spans="1:10" x14ac:dyDescent="0.3">
      <c r="A276" s="10"/>
      <c r="B276" s="10"/>
      <c r="C276" s="16"/>
      <c r="D276" s="10"/>
      <c r="E276" s="10"/>
      <c r="F276" s="10"/>
      <c r="G276" s="19"/>
      <c r="H276" s="16"/>
      <c r="I276" s="10"/>
      <c r="J276" s="10"/>
    </row>
    <row r="277" spans="1:10" x14ac:dyDescent="0.3">
      <c r="A277" s="10"/>
      <c r="B277" s="10"/>
      <c r="C277" s="16"/>
      <c r="D277" s="10"/>
      <c r="E277" s="10"/>
      <c r="F277" s="10"/>
      <c r="G277" s="19"/>
      <c r="H277" s="16"/>
      <c r="I277" s="10"/>
      <c r="J277" s="10"/>
    </row>
    <row r="278" spans="1:10" x14ac:dyDescent="0.3">
      <c r="A278" s="10"/>
      <c r="B278" s="10"/>
      <c r="C278" s="16"/>
      <c r="D278" s="10"/>
      <c r="E278" s="10"/>
      <c r="F278" s="10"/>
      <c r="G278" s="19"/>
      <c r="H278" s="16"/>
      <c r="I278" s="10"/>
      <c r="J278" s="10"/>
    </row>
    <row r="279" spans="1:10" x14ac:dyDescent="0.3">
      <c r="A279" s="10"/>
      <c r="B279" s="10"/>
      <c r="C279" s="16"/>
      <c r="D279" s="10"/>
      <c r="E279" s="10"/>
      <c r="F279" s="10"/>
      <c r="G279" s="19"/>
      <c r="H279" s="16"/>
      <c r="I279" s="10"/>
      <c r="J279" s="10"/>
    </row>
    <row r="280" spans="1:10" x14ac:dyDescent="0.3">
      <c r="A280" s="10"/>
      <c r="B280" s="10"/>
      <c r="C280" s="16"/>
      <c r="D280" s="10"/>
      <c r="E280" s="10"/>
      <c r="F280" s="10"/>
      <c r="G280" s="19"/>
      <c r="H280" s="16"/>
      <c r="I280" s="10"/>
      <c r="J280" s="10"/>
    </row>
    <row r="281" spans="1:10" x14ac:dyDescent="0.3">
      <c r="A281" s="10"/>
      <c r="B281" s="10"/>
      <c r="C281" s="16"/>
      <c r="D281" s="10"/>
      <c r="E281" s="10"/>
      <c r="F281" s="10"/>
      <c r="G281" s="19"/>
      <c r="H281" s="16"/>
      <c r="I281" s="10"/>
      <c r="J281" s="10"/>
    </row>
    <row r="282" spans="1:10" x14ac:dyDescent="0.3">
      <c r="A282" s="10"/>
      <c r="B282" s="10"/>
      <c r="C282" s="16"/>
      <c r="D282" s="10"/>
      <c r="E282" s="10"/>
      <c r="F282" s="10"/>
      <c r="G282" s="19"/>
      <c r="H282" s="16"/>
      <c r="I282" s="10"/>
      <c r="J282" s="10"/>
    </row>
    <row r="283" spans="1:10" x14ac:dyDescent="0.3">
      <c r="A283" s="10"/>
      <c r="B283" s="10"/>
      <c r="C283" s="16"/>
      <c r="D283" s="10"/>
      <c r="E283" s="10"/>
      <c r="F283" s="10"/>
      <c r="G283" s="19"/>
      <c r="H283" s="16"/>
      <c r="I283" s="10"/>
      <c r="J283" s="10"/>
    </row>
    <row r="284" spans="1:10" x14ac:dyDescent="0.3">
      <c r="A284" s="10"/>
      <c r="B284" s="10"/>
      <c r="C284" s="16"/>
      <c r="D284" s="10"/>
      <c r="E284" s="10"/>
      <c r="F284" s="10"/>
      <c r="G284" s="19"/>
      <c r="H284" s="16"/>
      <c r="I284" s="10"/>
      <c r="J284" s="10"/>
    </row>
    <row r="285" spans="1:10" x14ac:dyDescent="0.3">
      <c r="A285" s="10"/>
      <c r="B285" s="10"/>
      <c r="C285" s="16"/>
      <c r="D285" s="10"/>
      <c r="E285" s="10"/>
      <c r="F285" s="10"/>
      <c r="G285" s="19"/>
      <c r="H285" s="16"/>
      <c r="I285" s="10"/>
      <c r="J285" s="10"/>
    </row>
    <row r="286" spans="1:10" x14ac:dyDescent="0.3">
      <c r="A286" s="10"/>
      <c r="B286" s="10"/>
      <c r="C286" s="16"/>
      <c r="D286" s="10"/>
      <c r="E286" s="10"/>
      <c r="F286" s="10"/>
      <c r="G286" s="19"/>
      <c r="H286" s="16"/>
      <c r="I286" s="10"/>
      <c r="J286" s="10"/>
    </row>
    <row r="287" spans="1:10" x14ac:dyDescent="0.3">
      <c r="A287" s="10"/>
      <c r="B287" s="10"/>
      <c r="C287" s="16"/>
      <c r="D287" s="10"/>
      <c r="E287" s="10"/>
      <c r="F287" s="10"/>
      <c r="G287" s="19"/>
      <c r="H287" s="16"/>
      <c r="I287" s="10"/>
      <c r="J287" s="10"/>
    </row>
    <row r="288" spans="1:10" x14ac:dyDescent="0.3">
      <c r="A288" s="10"/>
      <c r="B288" s="10"/>
      <c r="C288" s="16"/>
      <c r="D288" s="10"/>
      <c r="E288" s="10"/>
      <c r="F288" s="10"/>
      <c r="G288" s="19"/>
      <c r="H288" s="16"/>
      <c r="I288" s="10"/>
      <c r="J288" s="10"/>
    </row>
    <row r="289" spans="1:10" x14ac:dyDescent="0.3">
      <c r="A289" s="10"/>
      <c r="B289" s="10"/>
      <c r="C289" s="16"/>
      <c r="D289" s="10"/>
      <c r="E289" s="10"/>
      <c r="F289" s="10"/>
      <c r="G289" s="19"/>
      <c r="H289" s="16"/>
      <c r="I289" s="10"/>
      <c r="J289" s="10"/>
    </row>
    <row r="290" spans="1:10" x14ac:dyDescent="0.3">
      <c r="A290" s="10"/>
      <c r="B290" s="10"/>
      <c r="C290" s="16"/>
      <c r="D290" s="10"/>
      <c r="E290" s="10"/>
      <c r="F290" s="10"/>
      <c r="G290" s="19"/>
      <c r="H290" s="16"/>
      <c r="I290" s="10"/>
      <c r="J290" s="10"/>
    </row>
    <row r="291" spans="1:10" x14ac:dyDescent="0.3">
      <c r="A291" s="10"/>
      <c r="B291" s="10"/>
      <c r="C291" s="16"/>
      <c r="D291" s="10"/>
      <c r="E291" s="10"/>
      <c r="F291" s="10"/>
      <c r="G291" s="19"/>
      <c r="H291" s="16"/>
      <c r="I291" s="10"/>
      <c r="J291" s="10"/>
    </row>
    <row r="292" spans="1:10" x14ac:dyDescent="0.3">
      <c r="A292" s="10"/>
      <c r="B292" s="10"/>
      <c r="C292" s="16"/>
      <c r="D292" s="10"/>
      <c r="E292" s="10"/>
      <c r="F292" s="10"/>
      <c r="G292" s="19"/>
      <c r="H292" s="16"/>
      <c r="I292" s="10"/>
      <c r="J292" s="10"/>
    </row>
    <row r="293" spans="1:10" x14ac:dyDescent="0.3">
      <c r="A293" s="10"/>
      <c r="B293" s="10"/>
      <c r="C293" s="16"/>
      <c r="D293" s="10"/>
      <c r="E293" s="10"/>
      <c r="F293" s="10"/>
      <c r="G293" s="19"/>
      <c r="H293" s="16"/>
      <c r="I293" s="10"/>
      <c r="J293" s="10"/>
    </row>
    <row r="294" spans="1:10" x14ac:dyDescent="0.3">
      <c r="A294" s="10"/>
      <c r="B294" s="10"/>
      <c r="C294" s="16"/>
      <c r="D294" s="10"/>
      <c r="E294" s="10"/>
      <c r="F294" s="10"/>
      <c r="G294" s="19"/>
      <c r="H294" s="16"/>
      <c r="I294" s="10"/>
      <c r="J294" s="10"/>
    </row>
    <row r="295" spans="1:10" x14ac:dyDescent="0.3">
      <c r="A295" s="10"/>
      <c r="B295" s="10"/>
      <c r="C295" s="16"/>
      <c r="D295" s="10"/>
      <c r="E295" s="10"/>
      <c r="F295" s="10"/>
      <c r="G295" s="19"/>
      <c r="H295" s="16"/>
      <c r="I295" s="10"/>
      <c r="J295" s="10"/>
    </row>
    <row r="296" spans="1:10" x14ac:dyDescent="0.3">
      <c r="A296" s="10"/>
      <c r="B296" s="10"/>
      <c r="C296" s="16"/>
      <c r="D296" s="10"/>
      <c r="E296" s="10"/>
      <c r="F296" s="10"/>
      <c r="G296" s="19"/>
      <c r="H296" s="16"/>
      <c r="I296" s="10"/>
      <c r="J296" s="10"/>
    </row>
    <row r="297" spans="1:10" x14ac:dyDescent="0.3">
      <c r="A297" s="10"/>
      <c r="B297" s="10"/>
      <c r="C297" s="16"/>
      <c r="D297" s="10"/>
      <c r="E297" s="10"/>
      <c r="F297" s="10"/>
      <c r="G297" s="19"/>
      <c r="H297" s="16"/>
      <c r="I297" s="10"/>
      <c r="J297" s="10"/>
    </row>
    <row r="298" spans="1:10" x14ac:dyDescent="0.3">
      <c r="A298" s="10"/>
      <c r="B298" s="10"/>
      <c r="C298" s="16"/>
      <c r="D298" s="10"/>
      <c r="E298" s="10"/>
      <c r="F298" s="10"/>
      <c r="G298" s="19"/>
      <c r="H298" s="16"/>
      <c r="I298" s="10"/>
      <c r="J298" s="10"/>
    </row>
    <row r="299" spans="1:10" x14ac:dyDescent="0.3">
      <c r="A299" s="10"/>
      <c r="B299" s="10"/>
      <c r="C299" s="16"/>
      <c r="D299" s="10"/>
      <c r="E299" s="10"/>
      <c r="F299" s="10"/>
      <c r="G299" s="19"/>
      <c r="H299" s="16"/>
      <c r="I299" s="10"/>
      <c r="J299" s="10"/>
    </row>
    <row r="300" spans="1:10" x14ac:dyDescent="0.3">
      <c r="A300" s="10"/>
      <c r="B300" s="10"/>
      <c r="C300" s="16"/>
      <c r="D300" s="10"/>
      <c r="E300" s="10"/>
      <c r="F300" s="10"/>
      <c r="G300" s="19"/>
      <c r="H300" s="16"/>
      <c r="I300" s="10"/>
      <c r="J300" s="10"/>
    </row>
    <row r="301" spans="1:10" x14ac:dyDescent="0.3">
      <c r="A301" s="10"/>
      <c r="B301" s="10"/>
      <c r="C301" s="16"/>
      <c r="D301" s="10"/>
      <c r="E301" s="10"/>
      <c r="F301" s="10"/>
      <c r="G301" s="19"/>
      <c r="H301" s="16"/>
      <c r="I301" s="10"/>
      <c r="J301" s="10"/>
    </row>
    <row r="302" spans="1:10" x14ac:dyDescent="0.3">
      <c r="A302" s="10"/>
      <c r="B302" s="10"/>
      <c r="C302" s="16"/>
      <c r="D302" s="10"/>
      <c r="E302" s="10"/>
      <c r="F302" s="10"/>
      <c r="G302" s="19"/>
      <c r="H302" s="16"/>
      <c r="I302" s="10"/>
      <c r="J302" s="10"/>
    </row>
    <row r="303" spans="1:10" x14ac:dyDescent="0.3">
      <c r="A303" s="10"/>
      <c r="B303" s="10"/>
      <c r="C303" s="16"/>
      <c r="D303" s="10"/>
      <c r="E303" s="10"/>
      <c r="F303" s="10"/>
      <c r="G303" s="19"/>
      <c r="H303" s="16"/>
      <c r="I303" s="10"/>
      <c r="J303" s="10"/>
    </row>
    <row r="304" spans="1:10" x14ac:dyDescent="0.3">
      <c r="A304" s="10"/>
      <c r="B304" s="10"/>
      <c r="C304" s="16"/>
      <c r="D304" s="10"/>
      <c r="E304" s="10"/>
      <c r="F304" s="10"/>
      <c r="G304" s="19"/>
      <c r="H304" s="16"/>
      <c r="I304" s="10"/>
      <c r="J304" s="10"/>
    </row>
    <row r="305" spans="1:10" x14ac:dyDescent="0.3">
      <c r="A305" s="10"/>
      <c r="B305" s="10"/>
      <c r="C305" s="16"/>
      <c r="D305" s="10"/>
      <c r="E305" s="10"/>
      <c r="F305" s="10"/>
      <c r="G305" s="19"/>
      <c r="H305" s="16"/>
      <c r="I305" s="10"/>
      <c r="J305" s="10"/>
    </row>
    <row r="306" spans="1:10" x14ac:dyDescent="0.3">
      <c r="A306" s="10"/>
      <c r="B306" s="10"/>
      <c r="C306" s="16"/>
      <c r="D306" s="10"/>
      <c r="E306" s="10"/>
      <c r="F306" s="10"/>
      <c r="G306" s="19"/>
      <c r="H306" s="16"/>
      <c r="I306" s="10"/>
      <c r="J306" s="10"/>
    </row>
    <row r="307" spans="1:10" x14ac:dyDescent="0.3">
      <c r="A307" s="10"/>
      <c r="B307" s="10"/>
      <c r="C307" s="16"/>
      <c r="D307" s="10"/>
      <c r="E307" s="10"/>
      <c r="F307" s="10"/>
      <c r="G307" s="19"/>
      <c r="H307" s="16"/>
      <c r="I307" s="10"/>
      <c r="J307" s="10"/>
    </row>
    <row r="308" spans="1:10" x14ac:dyDescent="0.3">
      <c r="A308" s="10"/>
      <c r="B308" s="10"/>
      <c r="C308" s="16"/>
      <c r="D308" s="10"/>
      <c r="E308" s="10"/>
      <c r="F308" s="10"/>
      <c r="G308" s="19"/>
      <c r="H308" s="16"/>
      <c r="I308" s="10"/>
      <c r="J308" s="10"/>
    </row>
    <row r="309" spans="1:10" x14ac:dyDescent="0.3">
      <c r="A309" s="10"/>
      <c r="B309" s="10"/>
      <c r="C309" s="16"/>
      <c r="D309" s="10"/>
      <c r="E309" s="10"/>
      <c r="F309" s="10"/>
      <c r="G309" s="19"/>
      <c r="H309" s="16"/>
      <c r="I309" s="10"/>
      <c r="J309" s="10"/>
    </row>
    <row r="310" spans="1:10" x14ac:dyDescent="0.3">
      <c r="A310" s="10"/>
      <c r="B310" s="10"/>
      <c r="C310" s="16"/>
      <c r="D310" s="10"/>
      <c r="E310" s="10"/>
      <c r="F310" s="10"/>
      <c r="G310" s="19"/>
      <c r="H310" s="16"/>
      <c r="I310" s="10"/>
      <c r="J310" s="10"/>
    </row>
    <row r="311" spans="1:10" x14ac:dyDescent="0.3">
      <c r="A311" s="10"/>
      <c r="B311" s="10"/>
      <c r="C311" s="16"/>
      <c r="D311" s="10"/>
      <c r="E311" s="10"/>
      <c r="F311" s="10"/>
      <c r="G311" s="19"/>
      <c r="H311" s="16"/>
      <c r="I311" s="10"/>
      <c r="J311" s="10"/>
    </row>
    <row r="312" spans="1:10" x14ac:dyDescent="0.3">
      <c r="A312" s="10"/>
      <c r="B312" s="10"/>
      <c r="C312" s="16"/>
      <c r="D312" s="10"/>
      <c r="E312" s="10"/>
      <c r="F312" s="10"/>
      <c r="G312" s="19"/>
      <c r="H312" s="16"/>
      <c r="I312" s="10"/>
      <c r="J312" s="10"/>
    </row>
    <row r="313" spans="1:10" x14ac:dyDescent="0.3">
      <c r="A313" s="10"/>
      <c r="B313" s="10"/>
      <c r="C313" s="16"/>
      <c r="D313" s="10"/>
      <c r="E313" s="10"/>
      <c r="F313" s="10"/>
      <c r="G313" s="19"/>
      <c r="H313" s="16"/>
      <c r="I313" s="10"/>
      <c r="J313" s="10"/>
    </row>
    <row r="314" spans="1:10" x14ac:dyDescent="0.3">
      <c r="A314" s="10"/>
      <c r="B314" s="10"/>
      <c r="C314" s="16"/>
      <c r="D314" s="10"/>
      <c r="E314" s="10"/>
      <c r="F314" s="10"/>
      <c r="G314" s="19"/>
      <c r="H314" s="16"/>
      <c r="I314" s="10"/>
      <c r="J314" s="10"/>
    </row>
    <row r="315" spans="1:10" x14ac:dyDescent="0.3">
      <c r="A315" s="10"/>
      <c r="B315" s="10"/>
      <c r="C315" s="16"/>
      <c r="D315" s="10"/>
      <c r="E315" s="10"/>
      <c r="F315" s="10"/>
      <c r="G315" s="19"/>
      <c r="H315" s="16"/>
      <c r="I315" s="10"/>
      <c r="J315" s="10"/>
    </row>
    <row r="316" spans="1:10" x14ac:dyDescent="0.3">
      <c r="A316" s="10"/>
      <c r="B316" s="10"/>
      <c r="C316" s="16"/>
      <c r="D316" s="10"/>
      <c r="E316" s="10"/>
      <c r="F316" s="10"/>
      <c r="G316" s="19"/>
      <c r="H316" s="16"/>
      <c r="I316" s="10"/>
      <c r="J316" s="10"/>
    </row>
    <row r="317" spans="1:10" x14ac:dyDescent="0.3">
      <c r="A317" s="10"/>
      <c r="B317" s="10"/>
      <c r="C317" s="16"/>
      <c r="D317" s="10"/>
      <c r="E317" s="10"/>
      <c r="F317" s="10"/>
      <c r="G317" s="19"/>
      <c r="H317" s="16"/>
      <c r="I317" s="10"/>
      <c r="J317" s="10"/>
    </row>
    <row r="318" spans="1:10" x14ac:dyDescent="0.3">
      <c r="A318" s="10"/>
      <c r="B318" s="10"/>
      <c r="C318" s="16"/>
      <c r="D318" s="10"/>
      <c r="E318" s="10"/>
      <c r="F318" s="10"/>
      <c r="G318" s="19"/>
      <c r="H318" s="16"/>
      <c r="I318" s="10"/>
      <c r="J318" s="10"/>
    </row>
    <row r="319" spans="1:10" x14ac:dyDescent="0.3">
      <c r="A319" s="10"/>
      <c r="B319" s="10"/>
      <c r="C319" s="16"/>
      <c r="D319" s="10"/>
      <c r="E319" s="10"/>
      <c r="F319" s="10"/>
      <c r="G319" s="19"/>
      <c r="H319" s="16"/>
      <c r="I319" s="10"/>
      <c r="J319" s="10"/>
    </row>
    <row r="320" spans="1:10" x14ac:dyDescent="0.3">
      <c r="A320" s="10"/>
      <c r="B320" s="10"/>
      <c r="C320" s="16"/>
      <c r="D320" s="10"/>
      <c r="E320" s="10"/>
      <c r="F320" s="10"/>
      <c r="G320" s="19"/>
      <c r="H320" s="16"/>
      <c r="I320" s="10"/>
      <c r="J320" s="10"/>
    </row>
    <row r="321" spans="1:10" x14ac:dyDescent="0.3">
      <c r="A321" s="10"/>
      <c r="B321" s="10"/>
      <c r="C321" s="16"/>
      <c r="D321" s="10"/>
      <c r="E321" s="10"/>
      <c r="F321" s="10"/>
      <c r="G321" s="19"/>
      <c r="H321" s="16"/>
      <c r="I321" s="10"/>
      <c r="J321" s="10"/>
    </row>
    <row r="322" spans="1:10" x14ac:dyDescent="0.3">
      <c r="A322" s="10"/>
      <c r="B322" s="10"/>
      <c r="C322" s="16"/>
      <c r="D322" s="10"/>
      <c r="E322" s="10"/>
      <c r="F322" s="10"/>
      <c r="G322" s="19"/>
      <c r="H322" s="16"/>
      <c r="I322" s="10"/>
      <c r="J322" s="10"/>
    </row>
    <row r="323" spans="1:10" x14ac:dyDescent="0.3">
      <c r="A323" s="10"/>
      <c r="B323" s="10"/>
      <c r="C323" s="16"/>
      <c r="D323" s="10"/>
      <c r="E323" s="10"/>
      <c r="F323" s="10"/>
      <c r="G323" s="19"/>
      <c r="H323" s="16"/>
      <c r="I323" s="10"/>
      <c r="J323" s="10"/>
    </row>
    <row r="324" spans="1:10" x14ac:dyDescent="0.3">
      <c r="A324" s="10"/>
      <c r="B324" s="10"/>
      <c r="C324" s="16"/>
      <c r="D324" s="10"/>
      <c r="E324" s="10"/>
      <c r="F324" s="10"/>
      <c r="G324" s="19"/>
      <c r="H324" s="16"/>
      <c r="I324" s="10"/>
      <c r="J324" s="10"/>
    </row>
    <row r="325" spans="1:10" x14ac:dyDescent="0.3">
      <c r="A325" s="10"/>
      <c r="B325" s="10"/>
      <c r="C325" s="16"/>
      <c r="D325" s="10"/>
      <c r="E325" s="10"/>
      <c r="F325" s="10"/>
      <c r="G325" s="19"/>
      <c r="H325" s="16"/>
      <c r="I325" s="10"/>
      <c r="J325" s="10"/>
    </row>
    <row r="326" spans="1:10" x14ac:dyDescent="0.3">
      <c r="A326" s="10"/>
      <c r="B326" s="10"/>
      <c r="C326" s="16"/>
      <c r="D326" s="10"/>
      <c r="E326" s="10"/>
      <c r="F326" s="10"/>
      <c r="G326" s="19"/>
      <c r="H326" s="16"/>
      <c r="I326" s="10"/>
      <c r="J326" s="10"/>
    </row>
    <row r="327" spans="1:10" x14ac:dyDescent="0.3">
      <c r="A327" s="10"/>
      <c r="B327" s="10"/>
      <c r="C327" s="16"/>
      <c r="D327" s="10"/>
      <c r="E327" s="10"/>
      <c r="F327" s="10"/>
      <c r="G327" s="19"/>
      <c r="H327" s="16"/>
      <c r="I327" s="10"/>
      <c r="J327" s="10"/>
    </row>
    <row r="328" spans="1:10" x14ac:dyDescent="0.3">
      <c r="A328" s="10"/>
      <c r="B328" s="10"/>
      <c r="C328" s="16"/>
      <c r="D328" s="10"/>
      <c r="E328" s="10"/>
      <c r="F328" s="10"/>
      <c r="G328" s="19"/>
      <c r="H328" s="16"/>
      <c r="I328" s="10"/>
      <c r="J328" s="10"/>
    </row>
    <row r="329" spans="1:10" x14ac:dyDescent="0.3">
      <c r="A329" s="10"/>
      <c r="B329" s="10"/>
      <c r="C329" s="16"/>
      <c r="D329" s="10"/>
      <c r="E329" s="10"/>
      <c r="F329" s="10"/>
      <c r="G329" s="19"/>
      <c r="H329" s="16"/>
      <c r="I329" s="10"/>
      <c r="J329" s="10"/>
    </row>
    <row r="330" spans="1:10" x14ac:dyDescent="0.3">
      <c r="A330" s="10"/>
      <c r="B330" s="10"/>
      <c r="C330" s="16"/>
      <c r="D330" s="10"/>
      <c r="E330" s="10"/>
      <c r="F330" s="10"/>
      <c r="G330" s="19"/>
      <c r="H330" s="16"/>
      <c r="I330" s="10"/>
      <c r="J330" s="10"/>
    </row>
    <row r="331" spans="1:10" x14ac:dyDescent="0.3">
      <c r="A331" s="10"/>
      <c r="B331" s="10"/>
      <c r="C331" s="16"/>
      <c r="D331" s="10"/>
      <c r="E331" s="10"/>
      <c r="F331" s="10"/>
      <c r="G331" s="19"/>
      <c r="H331" s="16"/>
      <c r="I331" s="10"/>
      <c r="J331" s="10"/>
    </row>
    <row r="332" spans="1:10" x14ac:dyDescent="0.3">
      <c r="A332" s="10"/>
      <c r="B332" s="10"/>
      <c r="C332" s="16"/>
      <c r="D332" s="10"/>
      <c r="E332" s="10"/>
      <c r="F332" s="10"/>
      <c r="G332" s="19"/>
      <c r="H332" s="16"/>
      <c r="I332" s="10"/>
      <c r="J332" s="10"/>
    </row>
    <row r="333" spans="1:10" x14ac:dyDescent="0.3">
      <c r="A333" s="10"/>
      <c r="B333" s="10"/>
      <c r="C333" s="16"/>
      <c r="D333" s="10"/>
      <c r="E333" s="10"/>
      <c r="F333" s="10"/>
      <c r="G333" s="19"/>
      <c r="H333" s="16"/>
      <c r="I333" s="10"/>
      <c r="J333" s="10"/>
    </row>
    <row r="334" spans="1:10" x14ac:dyDescent="0.3">
      <c r="A334" s="10"/>
      <c r="B334" s="10"/>
      <c r="C334" s="16"/>
      <c r="D334" s="10"/>
      <c r="E334" s="10"/>
      <c r="F334" s="10"/>
      <c r="G334" s="19"/>
      <c r="H334" s="16"/>
      <c r="I334" s="10"/>
      <c r="J334" s="10"/>
    </row>
    <row r="335" spans="1:10" x14ac:dyDescent="0.3">
      <c r="A335" s="10"/>
      <c r="B335" s="10"/>
      <c r="C335" s="16"/>
      <c r="D335" s="10"/>
      <c r="E335" s="10"/>
      <c r="F335" s="10"/>
      <c r="G335" s="19"/>
      <c r="H335" s="16"/>
      <c r="I335" s="10"/>
      <c r="J335" s="10"/>
    </row>
    <row r="336" spans="1:10" x14ac:dyDescent="0.3">
      <c r="A336" s="10"/>
      <c r="B336" s="10"/>
      <c r="C336" s="16"/>
      <c r="D336" s="10"/>
      <c r="E336" s="10"/>
      <c r="F336" s="10"/>
      <c r="G336" s="19"/>
      <c r="H336" s="16"/>
      <c r="I336" s="10"/>
      <c r="J336" s="10"/>
    </row>
    <row r="337" spans="1:10" x14ac:dyDescent="0.3">
      <c r="A337" s="10"/>
      <c r="B337" s="10"/>
      <c r="C337" s="16"/>
      <c r="D337" s="10"/>
      <c r="E337" s="10"/>
      <c r="F337" s="10"/>
      <c r="G337" s="19"/>
      <c r="H337" s="16"/>
      <c r="I337" s="10"/>
      <c r="J337" s="10"/>
    </row>
    <row r="338" spans="1:10" x14ac:dyDescent="0.3">
      <c r="A338" s="10"/>
      <c r="B338" s="10"/>
      <c r="C338" s="16"/>
      <c r="D338" s="10"/>
      <c r="E338" s="10"/>
      <c r="F338" s="10"/>
      <c r="G338" s="19"/>
      <c r="H338" s="16"/>
      <c r="I338" s="10"/>
      <c r="J338" s="10"/>
    </row>
    <row r="339" spans="1:10" x14ac:dyDescent="0.3">
      <c r="A339" s="10"/>
      <c r="B339" s="10"/>
      <c r="C339" s="16"/>
      <c r="D339" s="10"/>
      <c r="E339" s="10"/>
      <c r="F339" s="10"/>
      <c r="G339" s="19"/>
      <c r="H339" s="16"/>
      <c r="I339" s="10"/>
      <c r="J339" s="10"/>
    </row>
    <row r="340" spans="1:10" x14ac:dyDescent="0.3">
      <c r="A340" s="10"/>
      <c r="B340" s="10"/>
      <c r="C340" s="16"/>
      <c r="D340" s="10"/>
      <c r="E340" s="10"/>
      <c r="F340" s="10"/>
      <c r="G340" s="19"/>
      <c r="H340" s="16"/>
      <c r="I340" s="10"/>
      <c r="J340" s="10"/>
    </row>
    <row r="341" spans="1:10" x14ac:dyDescent="0.3">
      <c r="A341" s="10"/>
      <c r="B341" s="10"/>
      <c r="C341" s="16"/>
      <c r="D341" s="10"/>
      <c r="E341" s="10"/>
      <c r="F341" s="10"/>
      <c r="G341" s="19"/>
      <c r="H341" s="16"/>
      <c r="I341" s="10"/>
      <c r="J341" s="10"/>
    </row>
    <row r="342" spans="1:10" x14ac:dyDescent="0.3">
      <c r="A342" s="10"/>
      <c r="B342" s="10"/>
      <c r="C342" s="16"/>
      <c r="D342" s="10"/>
      <c r="E342" s="10"/>
      <c r="F342" s="10"/>
      <c r="G342" s="19"/>
      <c r="H342" s="16"/>
      <c r="I342" s="10"/>
      <c r="J342" s="10"/>
    </row>
    <row r="343" spans="1:10" x14ac:dyDescent="0.3">
      <c r="A343" s="10"/>
      <c r="B343" s="10"/>
      <c r="C343" s="16"/>
      <c r="D343" s="10"/>
      <c r="E343" s="10"/>
      <c r="F343" s="10"/>
      <c r="G343" s="19"/>
      <c r="H343" s="16"/>
      <c r="I343" s="10"/>
      <c r="J343" s="10"/>
    </row>
    <row r="344" spans="1:10" x14ac:dyDescent="0.3">
      <c r="A344" s="10"/>
      <c r="B344" s="10"/>
      <c r="C344" s="16"/>
      <c r="D344" s="10"/>
      <c r="E344" s="10"/>
      <c r="F344" s="10"/>
      <c r="G344" s="19"/>
      <c r="H344" s="16"/>
      <c r="I344" s="10"/>
      <c r="J344" s="10"/>
    </row>
    <row r="345" spans="1:10" x14ac:dyDescent="0.3">
      <c r="A345" s="10"/>
      <c r="B345" s="10"/>
      <c r="C345" s="16"/>
      <c r="D345" s="10"/>
      <c r="E345" s="10"/>
      <c r="F345" s="10"/>
      <c r="G345" s="19"/>
      <c r="H345" s="16"/>
      <c r="I345" s="10"/>
      <c r="J345" s="10"/>
    </row>
    <row r="346" spans="1:10" x14ac:dyDescent="0.3">
      <c r="A346" s="10"/>
      <c r="B346" s="10"/>
      <c r="C346" s="16"/>
      <c r="D346" s="10"/>
      <c r="E346" s="10"/>
      <c r="F346" s="10"/>
      <c r="G346" s="19"/>
      <c r="H346" s="16"/>
      <c r="I346" s="10"/>
      <c r="J346" s="10"/>
    </row>
    <row r="347" spans="1:10" x14ac:dyDescent="0.3">
      <c r="A347" s="10"/>
      <c r="B347" s="10"/>
      <c r="C347" s="16"/>
      <c r="D347" s="10"/>
      <c r="E347" s="10"/>
      <c r="F347" s="10"/>
      <c r="G347" s="19"/>
      <c r="H347" s="16"/>
      <c r="I347" s="10"/>
      <c r="J347" s="10"/>
    </row>
    <row r="348" spans="1:10" x14ac:dyDescent="0.3">
      <c r="A348" s="10"/>
      <c r="B348" s="10"/>
      <c r="C348" s="16"/>
      <c r="D348" s="10"/>
      <c r="E348" s="10"/>
      <c r="F348" s="10"/>
      <c r="G348" s="19"/>
      <c r="H348" s="16"/>
      <c r="I348" s="10"/>
      <c r="J348" s="10"/>
    </row>
    <row r="349" spans="1:10" x14ac:dyDescent="0.3">
      <c r="A349" s="10"/>
      <c r="B349" s="10"/>
      <c r="C349" s="16"/>
      <c r="D349" s="10"/>
      <c r="E349" s="10"/>
      <c r="F349" s="10"/>
      <c r="G349" s="19"/>
      <c r="H349" s="16"/>
      <c r="I349" s="10"/>
      <c r="J349" s="10"/>
    </row>
    <row r="350" spans="1:10" x14ac:dyDescent="0.3">
      <c r="A350" s="10"/>
      <c r="B350" s="10"/>
      <c r="C350" s="16"/>
      <c r="D350" s="10"/>
      <c r="E350" s="10"/>
      <c r="F350" s="10"/>
      <c r="G350" s="19"/>
      <c r="H350" s="16"/>
      <c r="I350" s="10"/>
      <c r="J350" s="10"/>
    </row>
    <row r="351" spans="1:10" x14ac:dyDescent="0.3">
      <c r="A351" s="10"/>
      <c r="B351" s="10"/>
      <c r="C351" s="16"/>
      <c r="D351" s="10"/>
      <c r="E351" s="10"/>
      <c r="F351" s="10"/>
      <c r="G351" s="19"/>
      <c r="H351" s="16"/>
      <c r="I351" s="10"/>
      <c r="J351" s="10"/>
    </row>
    <row r="352" spans="1:10" x14ac:dyDescent="0.3">
      <c r="A352" s="10"/>
      <c r="B352" s="10"/>
      <c r="C352" s="16"/>
      <c r="D352" s="10"/>
      <c r="E352" s="10"/>
      <c r="F352" s="10"/>
      <c r="G352" s="19"/>
      <c r="H352" s="16"/>
      <c r="I352" s="10"/>
      <c r="J352" s="10"/>
    </row>
    <row r="353" spans="1:10" x14ac:dyDescent="0.3">
      <c r="A353" s="10"/>
      <c r="B353" s="10"/>
      <c r="C353" s="16"/>
      <c r="D353" s="10"/>
      <c r="E353" s="10"/>
      <c r="F353" s="10"/>
      <c r="G353" s="19"/>
      <c r="H353" s="16"/>
      <c r="I353" s="10"/>
      <c r="J353" s="10"/>
    </row>
    <row r="354" spans="1:10" x14ac:dyDescent="0.3">
      <c r="A354" s="10"/>
      <c r="B354" s="10"/>
      <c r="C354" s="16"/>
      <c r="D354" s="10"/>
      <c r="E354" s="10"/>
      <c r="F354" s="10"/>
      <c r="G354" s="19"/>
      <c r="H354" s="16"/>
      <c r="I354" s="10"/>
      <c r="J354" s="10"/>
    </row>
    <row r="355" spans="1:10" x14ac:dyDescent="0.3">
      <c r="A355" s="10"/>
      <c r="B355" s="10"/>
      <c r="C355" s="16"/>
      <c r="D355" s="10"/>
      <c r="E355" s="10"/>
      <c r="F355" s="10"/>
      <c r="G355" s="19"/>
      <c r="H355" s="16"/>
      <c r="I355" s="10"/>
      <c r="J355" s="10"/>
    </row>
    <row r="356" spans="1:10" x14ac:dyDescent="0.3">
      <c r="A356" s="10"/>
      <c r="B356" s="10"/>
      <c r="C356" s="16"/>
      <c r="D356" s="10"/>
      <c r="E356" s="10"/>
      <c r="F356" s="10"/>
      <c r="G356" s="19"/>
      <c r="H356" s="16"/>
      <c r="I356" s="10"/>
      <c r="J356" s="10"/>
    </row>
    <row r="357" spans="1:10" x14ac:dyDescent="0.3">
      <c r="A357" s="10"/>
      <c r="B357" s="10"/>
      <c r="C357" s="16"/>
      <c r="D357" s="10"/>
      <c r="E357" s="10"/>
      <c r="F357" s="10"/>
      <c r="G357" s="19"/>
      <c r="H357" s="16"/>
      <c r="I357" s="10"/>
      <c r="J357" s="10"/>
    </row>
    <row r="358" spans="1:10" x14ac:dyDescent="0.3">
      <c r="A358" s="10"/>
      <c r="B358" s="10"/>
      <c r="C358" s="16"/>
      <c r="D358" s="10"/>
      <c r="E358" s="10"/>
      <c r="F358" s="10"/>
      <c r="G358" s="19"/>
      <c r="H358" s="16"/>
      <c r="I358" s="10"/>
      <c r="J358" s="10"/>
    </row>
    <row r="359" spans="1:10" x14ac:dyDescent="0.3">
      <c r="A359" s="10"/>
      <c r="B359" s="10"/>
      <c r="C359" s="16"/>
      <c r="D359" s="10"/>
      <c r="E359" s="10"/>
      <c r="F359" s="10"/>
      <c r="G359" s="19"/>
      <c r="H359" s="16"/>
      <c r="I359" s="10"/>
      <c r="J359" s="10"/>
    </row>
    <row r="360" spans="1:10" x14ac:dyDescent="0.3">
      <c r="A360" s="10"/>
      <c r="B360" s="10"/>
      <c r="C360" s="16"/>
      <c r="D360" s="10"/>
      <c r="E360" s="10"/>
      <c r="F360" s="10"/>
      <c r="G360" s="19"/>
      <c r="H360" s="16"/>
      <c r="I360" s="10"/>
      <c r="J360" s="10"/>
    </row>
    <row r="361" spans="1:10" x14ac:dyDescent="0.3">
      <c r="A361" s="10"/>
      <c r="B361" s="10"/>
      <c r="C361" s="16"/>
      <c r="D361" s="10"/>
      <c r="E361" s="10"/>
      <c r="F361" s="10"/>
      <c r="G361" s="19"/>
      <c r="H361" s="16"/>
      <c r="I361" s="10"/>
      <c r="J361" s="10"/>
    </row>
    <row r="362" spans="1:10" x14ac:dyDescent="0.3">
      <c r="A362" s="10"/>
      <c r="B362" s="10"/>
      <c r="C362" s="16"/>
      <c r="D362" s="10"/>
      <c r="E362" s="10"/>
      <c r="F362" s="10"/>
      <c r="G362" s="19"/>
      <c r="H362" s="16"/>
      <c r="I362" s="10"/>
      <c r="J362" s="10"/>
    </row>
    <row r="363" spans="1:10" x14ac:dyDescent="0.3">
      <c r="A363" s="10"/>
      <c r="B363" s="10"/>
      <c r="C363" s="16"/>
      <c r="D363" s="10"/>
      <c r="E363" s="10"/>
      <c r="F363" s="10"/>
      <c r="G363" s="19"/>
      <c r="H363" s="16"/>
      <c r="I363" s="10"/>
      <c r="J363" s="10"/>
    </row>
    <row r="364" spans="1:10" x14ac:dyDescent="0.3">
      <c r="A364" s="10"/>
      <c r="B364" s="10"/>
      <c r="C364" s="16"/>
      <c r="D364" s="10"/>
      <c r="E364" s="10"/>
      <c r="F364" s="10"/>
      <c r="G364" s="19"/>
      <c r="H364" s="16"/>
      <c r="I364" s="10"/>
      <c r="J364" s="10"/>
    </row>
    <row r="365" spans="1:10" x14ac:dyDescent="0.3">
      <c r="A365" s="10"/>
      <c r="B365" s="10"/>
      <c r="C365" s="16"/>
      <c r="D365" s="10"/>
      <c r="E365" s="10"/>
      <c r="F365" s="10"/>
      <c r="G365" s="19"/>
      <c r="H365" s="16"/>
      <c r="I365" s="10"/>
      <c r="J365" s="10"/>
    </row>
    <row r="366" spans="1:10" x14ac:dyDescent="0.3">
      <c r="A366" s="10"/>
      <c r="B366" s="10"/>
      <c r="C366" s="16"/>
      <c r="D366" s="10"/>
      <c r="E366" s="10"/>
      <c r="F366" s="10"/>
      <c r="G366" s="19"/>
      <c r="H366" s="16"/>
      <c r="I366" s="10"/>
      <c r="J366" s="10"/>
    </row>
    <row r="367" spans="1:10" x14ac:dyDescent="0.3">
      <c r="A367" s="10"/>
      <c r="B367" s="10"/>
      <c r="C367" s="16"/>
      <c r="D367" s="10"/>
      <c r="E367" s="10"/>
      <c r="F367" s="10"/>
      <c r="G367" s="19"/>
      <c r="H367" s="16"/>
      <c r="I367" s="10"/>
      <c r="J367" s="10"/>
    </row>
    <row r="368" spans="1:10" x14ac:dyDescent="0.3">
      <c r="A368" s="10"/>
      <c r="B368" s="10"/>
      <c r="C368" s="16"/>
      <c r="D368" s="10"/>
      <c r="E368" s="10"/>
      <c r="F368" s="10"/>
      <c r="G368" s="19"/>
      <c r="H368" s="16"/>
      <c r="I368" s="10"/>
      <c r="J368" s="10"/>
    </row>
    <row r="369" spans="1:10" x14ac:dyDescent="0.3">
      <c r="A369" s="10"/>
      <c r="B369" s="10"/>
      <c r="C369" s="16"/>
      <c r="D369" s="10"/>
      <c r="E369" s="10"/>
      <c r="F369" s="10"/>
      <c r="G369" s="19"/>
      <c r="H369" s="16"/>
      <c r="I369" s="10"/>
      <c r="J369" s="10"/>
    </row>
    <row r="370" spans="1:10" x14ac:dyDescent="0.3">
      <c r="A370" s="10"/>
      <c r="B370" s="10"/>
      <c r="C370" s="16"/>
      <c r="D370" s="10"/>
      <c r="E370" s="10"/>
      <c r="F370" s="10"/>
      <c r="G370" s="19"/>
      <c r="H370" s="16"/>
      <c r="I370" s="10"/>
      <c r="J370" s="10"/>
    </row>
    <row r="371" spans="1:10" x14ac:dyDescent="0.3">
      <c r="A371" s="10"/>
      <c r="B371" s="10"/>
      <c r="C371" s="16"/>
      <c r="D371" s="10"/>
      <c r="E371" s="10"/>
      <c r="F371" s="10"/>
      <c r="G371" s="19"/>
      <c r="H371" s="16"/>
      <c r="I371" s="10"/>
      <c r="J371" s="10"/>
    </row>
    <row r="372" spans="1:10" x14ac:dyDescent="0.3">
      <c r="A372" s="10"/>
      <c r="B372" s="10"/>
      <c r="C372" s="16"/>
      <c r="D372" s="10"/>
      <c r="E372" s="10"/>
      <c r="F372" s="10"/>
      <c r="G372" s="19"/>
      <c r="H372" s="16"/>
      <c r="I372" s="10"/>
      <c r="J372" s="10"/>
    </row>
    <row r="373" spans="1:10" x14ac:dyDescent="0.3">
      <c r="A373" s="10"/>
      <c r="B373" s="10"/>
      <c r="C373" s="16"/>
      <c r="D373" s="10"/>
      <c r="E373" s="10"/>
      <c r="F373" s="10"/>
      <c r="G373" s="19"/>
      <c r="H373" s="16"/>
      <c r="I373" s="10"/>
      <c r="J373" s="10"/>
    </row>
    <row r="374" spans="1:10" x14ac:dyDescent="0.3">
      <c r="A374" s="10"/>
      <c r="B374" s="10"/>
      <c r="C374" s="16"/>
      <c r="D374" s="10"/>
      <c r="E374" s="10"/>
      <c r="F374" s="10"/>
      <c r="G374" s="19"/>
      <c r="H374" s="16"/>
      <c r="I374" s="10"/>
      <c r="J374" s="10"/>
    </row>
    <row r="375" spans="1:10" x14ac:dyDescent="0.3">
      <c r="A375" s="10"/>
      <c r="B375" s="10"/>
      <c r="C375" s="16"/>
      <c r="D375" s="10"/>
      <c r="E375" s="10"/>
      <c r="F375" s="10"/>
      <c r="G375" s="19"/>
      <c r="H375" s="16"/>
      <c r="I375" s="10"/>
      <c r="J375" s="10"/>
    </row>
    <row r="376" spans="1:10" x14ac:dyDescent="0.3">
      <c r="A376" s="10"/>
      <c r="B376" s="10"/>
      <c r="C376" s="16"/>
      <c r="D376" s="10"/>
      <c r="E376" s="10"/>
      <c r="F376" s="10"/>
      <c r="G376" s="19"/>
      <c r="H376" s="16"/>
      <c r="I376" s="10"/>
      <c r="J376" s="10"/>
    </row>
    <row r="377" spans="1:10" x14ac:dyDescent="0.3">
      <c r="A377" s="10"/>
      <c r="B377" s="10"/>
      <c r="C377" s="16"/>
      <c r="D377" s="10"/>
      <c r="E377" s="10"/>
      <c r="F377" s="10"/>
      <c r="G377" s="19"/>
      <c r="H377" s="16"/>
      <c r="I377" s="10"/>
      <c r="J377" s="10"/>
    </row>
    <row r="378" spans="1:10" x14ac:dyDescent="0.3">
      <c r="A378" s="10"/>
      <c r="B378" s="10"/>
      <c r="C378" s="16"/>
      <c r="D378" s="10"/>
      <c r="E378" s="10"/>
      <c r="F378" s="10"/>
      <c r="G378" s="19"/>
      <c r="H378" s="16"/>
      <c r="I378" s="10"/>
      <c r="J378" s="10"/>
    </row>
    <row r="379" spans="1:10" x14ac:dyDescent="0.3">
      <c r="A379" s="10"/>
      <c r="B379" s="10"/>
      <c r="C379" s="16"/>
      <c r="D379" s="10"/>
      <c r="E379" s="10"/>
      <c r="F379" s="10"/>
      <c r="G379" s="19"/>
      <c r="H379" s="16"/>
      <c r="I379" s="10"/>
      <c r="J379" s="10"/>
    </row>
    <row r="380" spans="1:10" x14ac:dyDescent="0.3">
      <c r="A380" s="10"/>
      <c r="B380" s="10"/>
      <c r="C380" s="16"/>
      <c r="D380" s="10"/>
      <c r="E380" s="10"/>
      <c r="F380" s="10"/>
      <c r="G380" s="19"/>
      <c r="H380" s="16"/>
      <c r="I380" s="10"/>
      <c r="J380" s="10"/>
    </row>
    <row r="381" spans="1:10" x14ac:dyDescent="0.3">
      <c r="A381" s="10"/>
      <c r="B381" s="10"/>
      <c r="C381" s="16"/>
      <c r="D381" s="10"/>
      <c r="E381" s="10"/>
      <c r="F381" s="10"/>
      <c r="G381" s="19"/>
      <c r="H381" s="16"/>
      <c r="I381" s="10"/>
      <c r="J381" s="10"/>
    </row>
    <row r="382" spans="1:10" x14ac:dyDescent="0.3">
      <c r="A382" s="10"/>
      <c r="B382" s="10"/>
      <c r="C382" s="16"/>
      <c r="D382" s="10"/>
      <c r="E382" s="10"/>
      <c r="F382" s="10"/>
      <c r="G382" s="19"/>
      <c r="H382" s="16"/>
      <c r="I382" s="10"/>
      <c r="J382" s="10"/>
    </row>
    <row r="383" spans="1:10" x14ac:dyDescent="0.3">
      <c r="A383" s="10"/>
      <c r="B383" s="10"/>
      <c r="C383" s="16"/>
      <c r="D383" s="10"/>
      <c r="E383" s="10"/>
      <c r="F383" s="10"/>
      <c r="G383" s="19"/>
      <c r="H383" s="16"/>
      <c r="I383" s="10"/>
      <c r="J383" s="10"/>
    </row>
    <row r="384" spans="1:10" x14ac:dyDescent="0.3">
      <c r="A384" s="10"/>
      <c r="B384" s="10"/>
      <c r="C384" s="16"/>
      <c r="D384" s="10"/>
      <c r="E384" s="10"/>
      <c r="F384" s="10"/>
      <c r="G384" s="19"/>
      <c r="H384" s="16"/>
      <c r="I384" s="10"/>
      <c r="J384" s="10"/>
    </row>
    <row r="385" spans="1:10" x14ac:dyDescent="0.3">
      <c r="A385" s="10"/>
      <c r="B385" s="10"/>
      <c r="C385" s="16"/>
      <c r="D385" s="10"/>
      <c r="E385" s="10"/>
      <c r="F385" s="10"/>
      <c r="G385" s="19"/>
      <c r="H385" s="16"/>
      <c r="I385" s="10"/>
      <c r="J385" s="10"/>
    </row>
    <row r="386" spans="1:10" x14ac:dyDescent="0.3">
      <c r="A386" s="10"/>
      <c r="B386" s="10"/>
      <c r="C386" s="16"/>
      <c r="D386" s="10"/>
      <c r="E386" s="10"/>
      <c r="F386" s="10"/>
      <c r="G386" s="19"/>
      <c r="H386" s="16"/>
      <c r="I386" s="10"/>
      <c r="J386" s="10"/>
    </row>
    <row r="387" spans="1:10" x14ac:dyDescent="0.3">
      <c r="A387" s="10"/>
      <c r="B387" s="10"/>
      <c r="C387" s="16"/>
      <c r="D387" s="10"/>
      <c r="E387" s="10"/>
      <c r="F387" s="10"/>
      <c r="G387" s="19"/>
      <c r="H387" s="16"/>
      <c r="I387" s="10"/>
      <c r="J387" s="10"/>
    </row>
    <row r="388" spans="1:10" x14ac:dyDescent="0.3">
      <c r="A388" s="10"/>
      <c r="B388" s="10"/>
      <c r="C388" s="16"/>
      <c r="D388" s="10"/>
      <c r="E388" s="10"/>
      <c r="F388" s="10"/>
      <c r="G388" s="19"/>
      <c r="H388" s="16"/>
      <c r="I388" s="10"/>
      <c r="J388" s="10"/>
    </row>
    <row r="389" spans="1:10" x14ac:dyDescent="0.3">
      <c r="A389" s="10"/>
      <c r="B389" s="10"/>
      <c r="C389" s="16"/>
      <c r="D389" s="10"/>
      <c r="E389" s="10"/>
      <c r="F389" s="10"/>
      <c r="G389" s="19"/>
      <c r="H389" s="16"/>
      <c r="I389" s="10"/>
      <c r="J389" s="10"/>
    </row>
    <row r="390" spans="1:10" x14ac:dyDescent="0.3">
      <c r="A390" s="10"/>
      <c r="B390" s="10"/>
      <c r="C390" s="16"/>
      <c r="D390" s="10"/>
      <c r="E390" s="10"/>
      <c r="F390" s="10"/>
      <c r="G390" s="19"/>
      <c r="H390" s="16"/>
      <c r="I390" s="10"/>
      <c r="J390" s="10"/>
    </row>
    <row r="391" spans="1:10" x14ac:dyDescent="0.3">
      <c r="A391" s="10"/>
      <c r="B391" s="10"/>
      <c r="C391" s="16"/>
      <c r="D391" s="10"/>
      <c r="E391" s="10"/>
      <c r="F391" s="10"/>
      <c r="G391" s="19"/>
      <c r="H391" s="16"/>
      <c r="I391" s="10"/>
      <c r="J391" s="10"/>
    </row>
    <row r="392" spans="1:10" x14ac:dyDescent="0.3">
      <c r="A392" s="10"/>
      <c r="B392" s="10"/>
      <c r="C392" s="16"/>
      <c r="D392" s="10"/>
      <c r="E392" s="10"/>
      <c r="F392" s="10"/>
      <c r="G392" s="19"/>
      <c r="H392" s="16"/>
      <c r="I392" s="10"/>
      <c r="J392" s="10"/>
    </row>
    <row r="393" spans="1:10" x14ac:dyDescent="0.3">
      <c r="A393" s="10"/>
      <c r="B393" s="10"/>
      <c r="C393" s="16"/>
      <c r="D393" s="10"/>
      <c r="E393" s="10"/>
      <c r="F393" s="10"/>
      <c r="G393" s="19"/>
      <c r="H393" s="16"/>
      <c r="I393" s="10"/>
      <c r="J393" s="10"/>
    </row>
    <row r="394" spans="1:10" x14ac:dyDescent="0.3">
      <c r="A394" s="10"/>
      <c r="B394" s="10"/>
      <c r="C394" s="16"/>
      <c r="D394" s="10"/>
      <c r="E394" s="10"/>
      <c r="F394" s="10"/>
      <c r="G394" s="19"/>
      <c r="H394" s="16"/>
      <c r="I394" s="10"/>
      <c r="J394" s="10"/>
    </row>
    <row r="395" spans="1:10" x14ac:dyDescent="0.3">
      <c r="A395" s="10"/>
      <c r="B395" s="10"/>
      <c r="C395" s="16"/>
      <c r="D395" s="10"/>
      <c r="E395" s="10"/>
      <c r="F395" s="10"/>
      <c r="G395" s="19"/>
      <c r="H395" s="16"/>
      <c r="I395" s="10"/>
      <c r="J395" s="10"/>
    </row>
    <row r="396" spans="1:10" x14ac:dyDescent="0.3">
      <c r="A396" s="10"/>
      <c r="B396" s="10"/>
      <c r="C396" s="16"/>
      <c r="D396" s="10"/>
      <c r="E396" s="10"/>
      <c r="F396" s="10"/>
      <c r="G396" s="19"/>
      <c r="H396" s="16"/>
      <c r="I396" s="10"/>
      <c r="J396" s="10"/>
    </row>
    <row r="397" spans="1:10" x14ac:dyDescent="0.3">
      <c r="A397" s="10"/>
      <c r="B397" s="10"/>
      <c r="C397" s="16"/>
      <c r="D397" s="10"/>
      <c r="E397" s="10"/>
      <c r="F397" s="10"/>
      <c r="G397" s="19"/>
      <c r="H397" s="16"/>
      <c r="I397" s="10"/>
      <c r="J397" s="10"/>
    </row>
    <row r="398" spans="1:10" x14ac:dyDescent="0.3">
      <c r="A398" s="10"/>
      <c r="B398" s="10"/>
      <c r="C398" s="16"/>
      <c r="D398" s="10"/>
      <c r="E398" s="10"/>
      <c r="F398" s="10"/>
      <c r="G398" s="19"/>
      <c r="H398" s="16"/>
      <c r="I398" s="10"/>
      <c r="J398" s="10"/>
    </row>
    <row r="399" spans="1:10" x14ac:dyDescent="0.3">
      <c r="A399" s="10"/>
      <c r="B399" s="10"/>
      <c r="C399" s="16"/>
      <c r="D399" s="10"/>
      <c r="E399" s="10"/>
      <c r="F399" s="10"/>
      <c r="G399" s="19"/>
      <c r="H399" s="16"/>
      <c r="I399" s="10"/>
      <c r="J399" s="10"/>
    </row>
    <row r="400" spans="1:10" x14ac:dyDescent="0.3">
      <c r="A400" s="10"/>
      <c r="B400" s="10"/>
      <c r="C400" s="16"/>
      <c r="D400" s="10"/>
      <c r="E400" s="10"/>
      <c r="F400" s="10"/>
      <c r="G400" s="19"/>
      <c r="H400" s="16"/>
      <c r="I400" s="10"/>
      <c r="J400" s="10"/>
    </row>
    <row r="401" spans="1:10" x14ac:dyDescent="0.3">
      <c r="A401" s="10"/>
      <c r="B401" s="10"/>
      <c r="C401" s="16"/>
      <c r="D401" s="10"/>
      <c r="E401" s="10"/>
      <c r="F401" s="10"/>
      <c r="G401" s="19"/>
      <c r="H401" s="16"/>
      <c r="I401" s="10"/>
      <c r="J401" s="10"/>
    </row>
    <row r="402" spans="1:10" x14ac:dyDescent="0.3">
      <c r="A402" s="10"/>
      <c r="B402" s="10"/>
      <c r="C402" s="16"/>
      <c r="D402" s="10"/>
      <c r="E402" s="10"/>
      <c r="F402" s="10"/>
      <c r="G402" s="19"/>
      <c r="H402" s="16"/>
      <c r="I402" s="10"/>
      <c r="J402" s="10"/>
    </row>
    <row r="403" spans="1:10" x14ac:dyDescent="0.3">
      <c r="A403" s="10"/>
      <c r="B403" s="10"/>
      <c r="C403" s="16"/>
      <c r="D403" s="10"/>
      <c r="E403" s="10"/>
      <c r="F403" s="10"/>
      <c r="G403" s="19"/>
      <c r="H403" s="16"/>
      <c r="I403" s="10"/>
      <c r="J403" s="10"/>
    </row>
    <row r="404" spans="1:10" x14ac:dyDescent="0.3">
      <c r="A404" s="10"/>
      <c r="B404" s="10"/>
      <c r="C404" s="16"/>
      <c r="D404" s="10"/>
      <c r="E404" s="10"/>
      <c r="F404" s="10"/>
      <c r="G404" s="19"/>
      <c r="H404" s="16"/>
      <c r="I404" s="10"/>
      <c r="J404" s="10"/>
    </row>
    <row r="405" spans="1:10" x14ac:dyDescent="0.3">
      <c r="A405" s="10"/>
      <c r="B405" s="10"/>
      <c r="C405" s="16"/>
      <c r="D405" s="10"/>
      <c r="E405" s="10"/>
      <c r="F405" s="10"/>
      <c r="G405" s="19"/>
      <c r="H405" s="16"/>
      <c r="I405" s="10"/>
      <c r="J405" s="10"/>
    </row>
    <row r="406" spans="1:10" x14ac:dyDescent="0.3">
      <c r="A406" s="10"/>
      <c r="B406" s="10"/>
      <c r="C406" s="16"/>
      <c r="D406" s="10"/>
      <c r="E406" s="10"/>
      <c r="F406" s="10"/>
      <c r="G406" s="19"/>
      <c r="H406" s="16"/>
      <c r="I406" s="10"/>
      <c r="J406" s="10"/>
    </row>
    <row r="407" spans="1:10" x14ac:dyDescent="0.3">
      <c r="A407" s="10"/>
      <c r="B407" s="10"/>
      <c r="C407" s="16"/>
      <c r="D407" s="10"/>
      <c r="E407" s="10"/>
      <c r="F407" s="10"/>
      <c r="G407" s="19"/>
      <c r="H407" s="16"/>
      <c r="I407" s="10"/>
      <c r="J407" s="10"/>
    </row>
    <row r="408" spans="1:10" x14ac:dyDescent="0.3">
      <c r="A408" s="10"/>
      <c r="B408" s="10"/>
      <c r="C408" s="16"/>
      <c r="D408" s="10"/>
      <c r="E408" s="10"/>
      <c r="F408" s="10"/>
      <c r="G408" s="19"/>
      <c r="H408" s="16"/>
      <c r="I408" s="10"/>
      <c r="J408" s="10"/>
    </row>
    <row r="409" spans="1:10" x14ac:dyDescent="0.3">
      <c r="A409" s="10"/>
      <c r="B409" s="10"/>
      <c r="C409" s="16"/>
      <c r="D409" s="10"/>
      <c r="E409" s="10"/>
      <c r="F409" s="10"/>
      <c r="G409" s="19"/>
      <c r="H409" s="16"/>
      <c r="I409" s="10"/>
      <c r="J409" s="10"/>
    </row>
    <row r="410" spans="1:10" x14ac:dyDescent="0.3">
      <c r="A410" s="10"/>
      <c r="B410" s="10"/>
      <c r="C410" s="16"/>
      <c r="D410" s="10"/>
      <c r="E410" s="10"/>
      <c r="F410" s="10"/>
      <c r="G410" s="19"/>
      <c r="H410" s="16"/>
      <c r="I410" s="10"/>
      <c r="J410" s="10"/>
    </row>
    <row r="411" spans="1:10" x14ac:dyDescent="0.3">
      <c r="A411" s="10"/>
      <c r="B411" s="10"/>
      <c r="C411" s="16"/>
      <c r="D411" s="10"/>
      <c r="E411" s="10"/>
      <c r="F411" s="10"/>
      <c r="G411" s="19"/>
      <c r="H411" s="16"/>
      <c r="I411" s="10"/>
      <c r="J411" s="10"/>
    </row>
    <row r="412" spans="1:10" x14ac:dyDescent="0.3">
      <c r="A412" s="10"/>
      <c r="B412" s="10"/>
      <c r="C412" s="16"/>
      <c r="D412" s="10"/>
      <c r="E412" s="10"/>
      <c r="F412" s="10"/>
      <c r="G412" s="19"/>
      <c r="H412" s="16"/>
      <c r="I412" s="10"/>
      <c r="J412" s="10"/>
    </row>
    <row r="413" spans="1:10" x14ac:dyDescent="0.3">
      <c r="A413" s="10"/>
      <c r="B413" s="10"/>
      <c r="C413" s="16"/>
      <c r="D413" s="10"/>
      <c r="E413" s="10"/>
      <c r="F413" s="10"/>
      <c r="G413" s="19"/>
      <c r="H413" s="16"/>
      <c r="I413" s="10"/>
      <c r="J413" s="10"/>
    </row>
    <row r="414" spans="1:10" x14ac:dyDescent="0.3">
      <c r="A414" s="10"/>
      <c r="B414" s="10"/>
      <c r="C414" s="16"/>
      <c r="D414" s="10"/>
      <c r="E414" s="10"/>
      <c r="F414" s="10"/>
      <c r="G414" s="19"/>
      <c r="H414" s="16"/>
      <c r="I414" s="10"/>
      <c r="J414" s="10"/>
    </row>
    <row r="415" spans="1:10" x14ac:dyDescent="0.3">
      <c r="A415" s="10"/>
      <c r="B415" s="10"/>
      <c r="C415" s="16"/>
      <c r="D415" s="10"/>
      <c r="E415" s="10"/>
      <c r="F415" s="10"/>
      <c r="G415" s="19"/>
      <c r="H415" s="16"/>
      <c r="I415" s="10"/>
      <c r="J415" s="10"/>
    </row>
    <row r="416" spans="1:10" x14ac:dyDescent="0.3">
      <c r="A416" s="10"/>
      <c r="B416" s="10"/>
      <c r="C416" s="16"/>
      <c r="D416" s="10"/>
      <c r="E416" s="10"/>
      <c r="F416" s="10"/>
      <c r="G416" s="19"/>
      <c r="H416" s="16"/>
      <c r="I416" s="10"/>
      <c r="J416" s="10"/>
    </row>
    <row r="417" spans="1:10" x14ac:dyDescent="0.3">
      <c r="A417" s="10"/>
      <c r="B417" s="10"/>
      <c r="C417" s="16"/>
      <c r="D417" s="10"/>
      <c r="E417" s="10"/>
      <c r="F417" s="10"/>
      <c r="G417" s="19"/>
      <c r="H417" s="16"/>
      <c r="I417" s="10"/>
      <c r="J417" s="10"/>
    </row>
    <row r="418" spans="1:10" x14ac:dyDescent="0.3">
      <c r="A418" s="10"/>
      <c r="B418" s="10"/>
      <c r="C418" s="16"/>
      <c r="D418" s="10"/>
      <c r="E418" s="10"/>
      <c r="F418" s="10"/>
      <c r="G418" s="19"/>
      <c r="H418" s="16"/>
      <c r="I418" s="10"/>
      <c r="J418" s="10"/>
    </row>
    <row r="419" spans="1:10" x14ac:dyDescent="0.3">
      <c r="A419" s="10"/>
      <c r="B419" s="10"/>
      <c r="C419" s="16"/>
      <c r="D419" s="10"/>
      <c r="E419" s="10"/>
      <c r="F419" s="10"/>
      <c r="G419" s="19"/>
      <c r="H419" s="16"/>
      <c r="I419" s="10"/>
      <c r="J419" s="10"/>
    </row>
    <row r="420" spans="1:10" x14ac:dyDescent="0.3">
      <c r="A420" s="10"/>
      <c r="B420" s="10"/>
      <c r="C420" s="16"/>
      <c r="D420" s="10"/>
      <c r="E420" s="10"/>
      <c r="F420" s="10"/>
      <c r="G420" s="19"/>
      <c r="H420" s="16"/>
      <c r="I420" s="10"/>
      <c r="J420" s="10"/>
    </row>
    <row r="421" spans="1:10" x14ac:dyDescent="0.3">
      <c r="A421" s="10"/>
      <c r="B421" s="10"/>
      <c r="C421" s="16"/>
      <c r="D421" s="10"/>
      <c r="E421" s="10"/>
      <c r="F421" s="10"/>
      <c r="G421" s="19"/>
      <c r="H421" s="16"/>
      <c r="I421" s="10"/>
      <c r="J421" s="10"/>
    </row>
    <row r="422" spans="1:10" x14ac:dyDescent="0.3">
      <c r="A422" s="10"/>
      <c r="B422" s="10"/>
      <c r="C422" s="16"/>
      <c r="D422" s="10"/>
      <c r="E422" s="10"/>
      <c r="F422" s="10"/>
      <c r="G422" s="19"/>
      <c r="H422" s="16"/>
      <c r="I422" s="10"/>
      <c r="J422" s="10"/>
    </row>
    <row r="423" spans="1:10" x14ac:dyDescent="0.3">
      <c r="A423" s="10"/>
      <c r="B423" s="10"/>
      <c r="C423" s="16"/>
      <c r="D423" s="10"/>
      <c r="E423" s="10"/>
      <c r="F423" s="10"/>
      <c r="G423" s="19"/>
      <c r="H423" s="16"/>
      <c r="I423" s="10"/>
      <c r="J423" s="10"/>
    </row>
    <row r="424" spans="1:10" x14ac:dyDescent="0.3">
      <c r="A424" s="10"/>
      <c r="B424" s="10"/>
      <c r="C424" s="16"/>
      <c r="D424" s="10"/>
      <c r="E424" s="10"/>
      <c r="F424" s="10"/>
      <c r="G424" s="19"/>
      <c r="H424" s="16"/>
      <c r="I424" s="10"/>
      <c r="J424" s="10"/>
    </row>
    <row r="425" spans="1:10" x14ac:dyDescent="0.3">
      <c r="A425" s="10"/>
      <c r="B425" s="10"/>
      <c r="C425" s="16"/>
      <c r="D425" s="10"/>
      <c r="E425" s="10"/>
      <c r="F425" s="10"/>
      <c r="G425" s="19"/>
      <c r="H425" s="16"/>
      <c r="I425" s="10"/>
      <c r="J425" s="10"/>
    </row>
    <row r="426" spans="1:10" x14ac:dyDescent="0.3">
      <c r="A426" s="10"/>
      <c r="B426" s="10"/>
      <c r="C426" s="16"/>
      <c r="D426" s="10"/>
      <c r="E426" s="10"/>
      <c r="F426" s="10"/>
      <c r="G426" s="19"/>
      <c r="H426" s="16"/>
      <c r="I426" s="10"/>
      <c r="J426" s="10"/>
    </row>
    <row r="427" spans="1:10" x14ac:dyDescent="0.3">
      <c r="A427" s="10"/>
      <c r="B427" s="10"/>
      <c r="C427" s="16"/>
      <c r="D427" s="10"/>
      <c r="E427" s="10"/>
      <c r="F427" s="10"/>
      <c r="G427" s="19"/>
      <c r="H427" s="16"/>
      <c r="I427" s="10"/>
      <c r="J427" s="10"/>
    </row>
    <row r="428" spans="1:10" x14ac:dyDescent="0.3">
      <c r="A428" s="10"/>
      <c r="B428" s="10"/>
      <c r="C428" s="16"/>
      <c r="D428" s="10"/>
      <c r="E428" s="10"/>
      <c r="F428" s="10"/>
      <c r="G428" s="19"/>
      <c r="H428" s="16"/>
      <c r="I428" s="10"/>
      <c r="J428" s="10"/>
    </row>
    <row r="429" spans="1:10" x14ac:dyDescent="0.3">
      <c r="A429" s="10"/>
      <c r="B429" s="10"/>
      <c r="C429" s="16"/>
      <c r="D429" s="10"/>
      <c r="E429" s="10"/>
      <c r="F429" s="10"/>
      <c r="G429" s="19"/>
      <c r="H429" s="16"/>
      <c r="I429" s="10"/>
      <c r="J429" s="10"/>
    </row>
    <row r="430" spans="1:10" x14ac:dyDescent="0.3">
      <c r="A430" s="10"/>
      <c r="B430" s="10"/>
      <c r="C430" s="16"/>
      <c r="D430" s="10"/>
      <c r="E430" s="10"/>
      <c r="F430" s="10"/>
      <c r="G430" s="19"/>
      <c r="H430" s="16"/>
      <c r="I430" s="10"/>
      <c r="J430" s="10"/>
    </row>
    <row r="431" spans="1:10" x14ac:dyDescent="0.3">
      <c r="A431" s="10"/>
      <c r="B431" s="10"/>
      <c r="C431" s="16"/>
      <c r="D431" s="10"/>
      <c r="E431" s="10"/>
      <c r="F431" s="10"/>
      <c r="G431" s="19"/>
      <c r="H431" s="16"/>
      <c r="I431" s="10"/>
      <c r="J431" s="10"/>
    </row>
    <row r="432" spans="1:10" x14ac:dyDescent="0.3">
      <c r="A432" s="10"/>
      <c r="B432" s="10"/>
      <c r="C432" s="16"/>
      <c r="D432" s="10"/>
      <c r="E432" s="10"/>
      <c r="F432" s="10"/>
      <c r="G432" s="19"/>
      <c r="H432" s="16"/>
      <c r="I432" s="10"/>
      <c r="J432" s="10"/>
    </row>
    <row r="433" spans="1:10" x14ac:dyDescent="0.3">
      <c r="A433" s="10"/>
      <c r="B433" s="10"/>
      <c r="C433" s="16"/>
      <c r="D433" s="10"/>
      <c r="E433" s="10"/>
      <c r="F433" s="10"/>
      <c r="G433" s="19"/>
      <c r="H433" s="16"/>
      <c r="I433" s="10"/>
      <c r="J433" s="10"/>
    </row>
    <row r="434" spans="1:10" x14ac:dyDescent="0.3">
      <c r="A434" s="10"/>
      <c r="B434" s="10"/>
      <c r="C434" s="16"/>
      <c r="D434" s="10"/>
      <c r="E434" s="10"/>
      <c r="F434" s="10"/>
      <c r="G434" s="19"/>
      <c r="H434" s="16"/>
      <c r="I434" s="10"/>
      <c r="J434" s="10"/>
    </row>
    <row r="435" spans="1:10" x14ac:dyDescent="0.3">
      <c r="A435" s="10"/>
      <c r="B435" s="10"/>
      <c r="C435" s="16"/>
      <c r="D435" s="10"/>
      <c r="E435" s="10"/>
      <c r="F435" s="10"/>
      <c r="G435" s="19"/>
      <c r="H435" s="16"/>
      <c r="I435" s="10"/>
      <c r="J435" s="10"/>
    </row>
    <row r="436" spans="1:10" x14ac:dyDescent="0.3">
      <c r="A436" s="10"/>
      <c r="B436" s="10"/>
      <c r="C436" s="16"/>
      <c r="D436" s="10"/>
      <c r="E436" s="10"/>
      <c r="F436" s="10"/>
      <c r="G436" s="19"/>
      <c r="H436" s="16"/>
      <c r="I436" s="10"/>
      <c r="J436" s="10"/>
    </row>
    <row r="437" spans="1:10" x14ac:dyDescent="0.3">
      <c r="A437" s="10"/>
      <c r="B437" s="10"/>
      <c r="C437" s="16"/>
      <c r="D437" s="10"/>
      <c r="E437" s="10"/>
      <c r="F437" s="10"/>
      <c r="G437" s="19"/>
      <c r="H437" s="16"/>
      <c r="I437" s="10"/>
      <c r="J437" s="10"/>
    </row>
    <row r="438" spans="1:10" x14ac:dyDescent="0.3">
      <c r="A438" s="10"/>
      <c r="B438" s="10"/>
      <c r="C438" s="16"/>
      <c r="D438" s="10"/>
      <c r="E438" s="10"/>
      <c r="F438" s="10"/>
      <c r="G438" s="19"/>
      <c r="H438" s="16"/>
      <c r="I438" s="10"/>
      <c r="J438" s="10"/>
    </row>
    <row r="439" spans="1:10" x14ac:dyDescent="0.3">
      <c r="A439" s="10"/>
      <c r="B439" s="10"/>
      <c r="C439" s="16"/>
      <c r="D439" s="10"/>
      <c r="E439" s="10"/>
      <c r="F439" s="10"/>
      <c r="G439" s="19"/>
      <c r="H439" s="16"/>
      <c r="I439" s="10"/>
      <c r="J439" s="10"/>
    </row>
    <row r="440" spans="1:10" x14ac:dyDescent="0.3">
      <c r="A440" s="10"/>
      <c r="B440" s="10"/>
      <c r="C440" s="16"/>
      <c r="D440" s="10"/>
      <c r="E440" s="10"/>
      <c r="F440" s="10"/>
      <c r="G440" s="19"/>
      <c r="H440" s="16"/>
      <c r="I440" s="10"/>
      <c r="J440" s="10"/>
    </row>
    <row r="441" spans="1:10" x14ac:dyDescent="0.3">
      <c r="A441" s="10"/>
      <c r="B441" s="10"/>
      <c r="C441" s="16"/>
      <c r="D441" s="10"/>
      <c r="E441" s="10"/>
      <c r="F441" s="10"/>
      <c r="G441" s="19"/>
      <c r="H441" s="16"/>
      <c r="I441" s="10"/>
      <c r="J441" s="10"/>
    </row>
    <row r="442" spans="1:10" x14ac:dyDescent="0.3">
      <c r="A442" s="10"/>
      <c r="B442" s="10"/>
      <c r="C442" s="16"/>
      <c r="D442" s="10"/>
      <c r="E442" s="10"/>
      <c r="F442" s="10"/>
      <c r="G442" s="19"/>
      <c r="H442" s="16"/>
      <c r="I442" s="10"/>
      <c r="J442" s="10"/>
    </row>
    <row r="443" spans="1:10" x14ac:dyDescent="0.3">
      <c r="A443" s="10"/>
      <c r="B443" s="10"/>
      <c r="C443" s="16"/>
      <c r="D443" s="10"/>
      <c r="E443" s="10"/>
      <c r="F443" s="10"/>
      <c r="G443" s="19"/>
      <c r="H443" s="16"/>
      <c r="I443" s="10"/>
      <c r="J443" s="10"/>
    </row>
    <row r="444" spans="1:10" x14ac:dyDescent="0.3">
      <c r="A444" s="10"/>
      <c r="B444" s="10"/>
      <c r="C444" s="16"/>
      <c r="D444" s="10"/>
      <c r="E444" s="10"/>
      <c r="F444" s="10"/>
      <c r="G444" s="19"/>
      <c r="H444" s="16"/>
      <c r="I444" s="10"/>
      <c r="J444" s="10"/>
    </row>
    <row r="445" spans="1:10" x14ac:dyDescent="0.3">
      <c r="A445" s="10"/>
      <c r="B445" s="10"/>
      <c r="C445" s="16"/>
      <c r="D445" s="10"/>
      <c r="E445" s="10"/>
      <c r="F445" s="10"/>
      <c r="G445" s="19"/>
      <c r="H445" s="16"/>
      <c r="I445" s="10"/>
      <c r="J445" s="10"/>
    </row>
    <row r="446" spans="1:10" x14ac:dyDescent="0.3">
      <c r="A446" s="10"/>
      <c r="B446" s="10"/>
      <c r="C446" s="16"/>
      <c r="D446" s="10"/>
      <c r="E446" s="10"/>
      <c r="F446" s="10"/>
      <c r="G446" s="19"/>
      <c r="H446" s="16"/>
      <c r="I446" s="10"/>
      <c r="J446" s="10"/>
    </row>
    <row r="447" spans="1:10" x14ac:dyDescent="0.3">
      <c r="A447" s="10"/>
      <c r="B447" s="10"/>
      <c r="C447" s="16"/>
      <c r="D447" s="10"/>
      <c r="E447" s="10"/>
      <c r="F447" s="10"/>
      <c r="G447" s="19"/>
      <c r="H447" s="16"/>
      <c r="I447" s="10"/>
      <c r="J447" s="10"/>
    </row>
    <row r="448" spans="1:10" x14ac:dyDescent="0.3">
      <c r="A448" s="10"/>
      <c r="B448" s="10"/>
      <c r="C448" s="16"/>
      <c r="D448" s="10"/>
      <c r="E448" s="10"/>
      <c r="F448" s="10"/>
      <c r="G448" s="19"/>
      <c r="H448" s="16"/>
      <c r="I448" s="10"/>
      <c r="J448" s="10"/>
    </row>
    <row r="449" spans="1:10" x14ac:dyDescent="0.3">
      <c r="A449" s="10"/>
      <c r="B449" s="10"/>
      <c r="C449" s="16"/>
      <c r="D449" s="10"/>
      <c r="E449" s="10"/>
      <c r="F449" s="10"/>
      <c r="G449" s="19"/>
      <c r="H449" s="16"/>
      <c r="I449" s="10"/>
      <c r="J449" s="10"/>
    </row>
    <row r="450" spans="1:10" x14ac:dyDescent="0.3">
      <c r="A450" s="10"/>
      <c r="B450" s="10"/>
      <c r="C450" s="16"/>
      <c r="D450" s="10"/>
      <c r="E450" s="10"/>
      <c r="F450" s="10"/>
      <c r="G450" s="19"/>
      <c r="H450" s="16"/>
      <c r="I450" s="10"/>
      <c r="J450" s="10"/>
    </row>
    <row r="451" spans="1:10" x14ac:dyDescent="0.3">
      <c r="A451" s="10"/>
      <c r="B451" s="10"/>
      <c r="C451" s="16"/>
      <c r="D451" s="10"/>
      <c r="E451" s="10"/>
      <c r="F451" s="10"/>
      <c r="G451" s="19"/>
      <c r="H451" s="16"/>
      <c r="I451" s="10"/>
      <c r="J451" s="10"/>
    </row>
    <row r="452" spans="1:10" x14ac:dyDescent="0.3">
      <c r="A452" s="10"/>
      <c r="B452" s="10"/>
      <c r="C452" s="16"/>
      <c r="D452" s="10"/>
      <c r="E452" s="10"/>
      <c r="F452" s="10"/>
      <c r="G452" s="19"/>
      <c r="H452" s="16"/>
      <c r="I452" s="10"/>
      <c r="J452" s="10"/>
    </row>
    <row r="453" spans="1:10" x14ac:dyDescent="0.3">
      <c r="A453" s="10"/>
      <c r="B453" s="10"/>
      <c r="C453" s="16"/>
      <c r="D453" s="10"/>
      <c r="E453" s="10"/>
      <c r="F453" s="10"/>
      <c r="G453" s="19"/>
      <c r="H453" s="16"/>
      <c r="I453" s="10"/>
      <c r="J453" s="10"/>
    </row>
    <row r="454" spans="1:10" x14ac:dyDescent="0.3">
      <c r="A454" s="10"/>
      <c r="B454" s="10"/>
      <c r="C454" s="16"/>
      <c r="D454" s="10"/>
      <c r="E454" s="10"/>
      <c r="F454" s="10"/>
      <c r="G454" s="19"/>
      <c r="H454" s="16"/>
      <c r="I454" s="10"/>
      <c r="J454" s="10"/>
    </row>
    <row r="455" spans="1:10" x14ac:dyDescent="0.3">
      <c r="A455" s="10"/>
      <c r="B455" s="10"/>
      <c r="C455" s="16"/>
      <c r="D455" s="10"/>
      <c r="E455" s="10"/>
      <c r="F455" s="10"/>
      <c r="G455" s="19"/>
      <c r="H455" s="16"/>
      <c r="I455" s="10"/>
      <c r="J455" s="10"/>
    </row>
    <row r="456" spans="1:10" x14ac:dyDescent="0.3">
      <c r="A456" s="10"/>
      <c r="B456" s="10"/>
      <c r="C456" s="16"/>
      <c r="D456" s="10"/>
      <c r="E456" s="10"/>
      <c r="F456" s="10"/>
      <c r="G456" s="19"/>
      <c r="H456" s="16"/>
      <c r="I456" s="10"/>
      <c r="J456" s="10"/>
    </row>
    <row r="457" spans="1:10" x14ac:dyDescent="0.3">
      <c r="A457" s="10"/>
      <c r="B457" s="10"/>
      <c r="C457" s="16"/>
      <c r="D457" s="10"/>
      <c r="E457" s="10"/>
      <c r="F457" s="10"/>
      <c r="G457" s="19"/>
      <c r="H457" s="16"/>
      <c r="I457" s="10"/>
      <c r="J457" s="10"/>
    </row>
    <row r="458" spans="1:10" x14ac:dyDescent="0.3">
      <c r="A458" s="10"/>
      <c r="B458" s="10"/>
      <c r="C458" s="16"/>
      <c r="D458" s="10"/>
      <c r="E458" s="10"/>
      <c r="F458" s="10"/>
      <c r="G458" s="19"/>
      <c r="H458" s="16"/>
      <c r="I458" s="10"/>
      <c r="J458" s="10"/>
    </row>
    <row r="459" spans="1:10" x14ac:dyDescent="0.3">
      <c r="A459" s="10"/>
      <c r="B459" s="10"/>
      <c r="C459" s="16"/>
      <c r="D459" s="10"/>
      <c r="E459" s="10"/>
      <c r="F459" s="10"/>
      <c r="G459" s="19"/>
      <c r="H459" s="16"/>
      <c r="I459" s="10"/>
      <c r="J459" s="10"/>
    </row>
    <row r="460" spans="1:10" x14ac:dyDescent="0.3">
      <c r="A460" s="10"/>
      <c r="B460" s="10"/>
      <c r="C460" s="16"/>
      <c r="D460" s="10"/>
      <c r="E460" s="10"/>
      <c r="F460" s="10"/>
      <c r="G460" s="19"/>
      <c r="H460" s="16"/>
      <c r="I460" s="10"/>
      <c r="J460" s="10"/>
    </row>
    <row r="461" spans="1:10" x14ac:dyDescent="0.3">
      <c r="A461" s="10"/>
      <c r="B461" s="10"/>
      <c r="C461" s="16"/>
      <c r="D461" s="10"/>
      <c r="E461" s="10"/>
      <c r="F461" s="10"/>
      <c r="G461" s="19"/>
      <c r="H461" s="16"/>
      <c r="I461" s="10"/>
      <c r="J461" s="10"/>
    </row>
    <row r="462" spans="1:10" x14ac:dyDescent="0.3">
      <c r="A462" s="10"/>
      <c r="B462" s="10"/>
      <c r="C462" s="16"/>
      <c r="D462" s="10"/>
      <c r="E462" s="10"/>
      <c r="F462" s="10"/>
      <c r="G462" s="19"/>
      <c r="H462" s="16"/>
      <c r="I462" s="10"/>
      <c r="J462" s="10"/>
    </row>
    <row r="463" spans="1:10" x14ac:dyDescent="0.3">
      <c r="A463" s="10"/>
      <c r="B463" s="10"/>
      <c r="C463" s="16"/>
      <c r="D463" s="10"/>
      <c r="E463" s="10"/>
      <c r="F463" s="10"/>
      <c r="G463" s="19"/>
      <c r="H463" s="16"/>
      <c r="I463" s="10"/>
      <c r="J463" s="10"/>
    </row>
    <row r="464" spans="1:10" x14ac:dyDescent="0.3">
      <c r="A464" s="10"/>
      <c r="B464" s="10"/>
      <c r="C464" s="16"/>
      <c r="D464" s="10"/>
      <c r="E464" s="10"/>
      <c r="F464" s="10"/>
      <c r="G464" s="19"/>
      <c r="H464" s="16"/>
      <c r="I464" s="10"/>
      <c r="J464" s="10"/>
    </row>
    <row r="465" spans="1:10" x14ac:dyDescent="0.3">
      <c r="A465" s="10"/>
      <c r="B465" s="10"/>
      <c r="C465" s="16"/>
      <c r="D465" s="10"/>
      <c r="E465" s="10"/>
      <c r="F465" s="10"/>
      <c r="G465" s="19"/>
      <c r="H465" s="16"/>
      <c r="I465" s="10"/>
      <c r="J465" s="10"/>
    </row>
    <row r="466" spans="1:10" x14ac:dyDescent="0.3">
      <c r="A466" s="10"/>
      <c r="B466" s="10"/>
      <c r="C466" s="16"/>
      <c r="D466" s="10"/>
      <c r="E466" s="10"/>
      <c r="F466" s="10"/>
      <c r="G466" s="19"/>
      <c r="H466" s="16"/>
      <c r="I466" s="10"/>
      <c r="J466" s="10"/>
    </row>
    <row r="467" spans="1:10" x14ac:dyDescent="0.3">
      <c r="A467" s="10"/>
      <c r="B467" s="10"/>
      <c r="C467" s="16"/>
      <c r="D467" s="10"/>
      <c r="E467" s="10"/>
      <c r="F467" s="10"/>
      <c r="G467" s="19"/>
      <c r="H467" s="16"/>
      <c r="I467" s="10"/>
      <c r="J467" s="10"/>
    </row>
    <row r="468" spans="1:10" x14ac:dyDescent="0.3">
      <c r="A468" s="10"/>
      <c r="B468" s="10"/>
      <c r="C468" s="16"/>
      <c r="D468" s="10"/>
      <c r="E468" s="10"/>
      <c r="F468" s="10"/>
      <c r="G468" s="19"/>
      <c r="H468" s="16"/>
      <c r="I468" s="10"/>
      <c r="J468" s="10"/>
    </row>
    <row r="469" spans="1:10" x14ac:dyDescent="0.3">
      <c r="A469" s="10"/>
      <c r="B469" s="10"/>
      <c r="C469" s="16"/>
      <c r="D469" s="10"/>
      <c r="E469" s="10"/>
      <c r="F469" s="10"/>
      <c r="G469" s="19"/>
      <c r="H469" s="16"/>
      <c r="I469" s="10"/>
      <c r="J469" s="10"/>
    </row>
    <row r="470" spans="1:10" x14ac:dyDescent="0.3">
      <c r="A470" s="10"/>
      <c r="B470" s="10"/>
      <c r="C470" s="16"/>
      <c r="D470" s="10"/>
      <c r="E470" s="10"/>
      <c r="F470" s="10"/>
      <c r="G470" s="19"/>
      <c r="H470" s="16"/>
      <c r="I470" s="10"/>
      <c r="J470" s="10"/>
    </row>
    <row r="471" spans="1:10" x14ac:dyDescent="0.3">
      <c r="A471" s="10"/>
      <c r="B471" s="10"/>
      <c r="C471" s="16"/>
      <c r="D471" s="10"/>
      <c r="E471" s="10"/>
      <c r="F471" s="10"/>
      <c r="G471" s="19"/>
      <c r="H471" s="16"/>
      <c r="I471" s="10"/>
      <c r="J471" s="10"/>
    </row>
    <row r="472" spans="1:10" x14ac:dyDescent="0.3">
      <c r="A472" s="10"/>
      <c r="B472" s="10"/>
      <c r="C472" s="16"/>
      <c r="D472" s="10"/>
      <c r="E472" s="10"/>
      <c r="F472" s="10"/>
      <c r="G472" s="19"/>
      <c r="H472" s="16"/>
      <c r="I472" s="10"/>
      <c r="J472" s="10"/>
    </row>
    <row r="473" spans="1:10" x14ac:dyDescent="0.3">
      <c r="A473" s="10"/>
      <c r="B473" s="10"/>
      <c r="C473" s="16"/>
      <c r="D473" s="10"/>
      <c r="E473" s="10"/>
      <c r="F473" s="10"/>
      <c r="G473" s="19"/>
      <c r="H473" s="16"/>
      <c r="I473" s="10"/>
      <c r="J473" s="10"/>
    </row>
    <row r="474" spans="1:10" x14ac:dyDescent="0.3">
      <c r="A474" s="10"/>
      <c r="B474" s="10"/>
      <c r="C474" s="16"/>
      <c r="D474" s="10"/>
      <c r="E474" s="10"/>
      <c r="F474" s="10"/>
      <c r="G474" s="19"/>
      <c r="H474" s="16"/>
      <c r="I474" s="10"/>
      <c r="J474" s="10"/>
    </row>
    <row r="475" spans="1:10" x14ac:dyDescent="0.3">
      <c r="A475" s="10"/>
      <c r="B475" s="10"/>
      <c r="C475" s="16"/>
      <c r="D475" s="10"/>
      <c r="E475" s="10"/>
      <c r="F475" s="10"/>
      <c r="G475" s="19"/>
      <c r="H475" s="16"/>
      <c r="I475" s="10"/>
      <c r="J475" s="10"/>
    </row>
    <row r="476" spans="1:10" x14ac:dyDescent="0.3">
      <c r="A476" s="10"/>
      <c r="B476" s="10"/>
      <c r="C476" s="16"/>
      <c r="D476" s="10"/>
      <c r="E476" s="10"/>
      <c r="F476" s="10"/>
      <c r="G476" s="19"/>
      <c r="H476" s="16"/>
      <c r="I476" s="10"/>
      <c r="J476" s="10"/>
    </row>
    <row r="477" spans="1:10" x14ac:dyDescent="0.3">
      <c r="A477" s="10"/>
      <c r="B477" s="10"/>
      <c r="C477" s="16"/>
      <c r="D477" s="10"/>
      <c r="E477" s="10"/>
      <c r="F477" s="10"/>
      <c r="G477" s="19"/>
      <c r="H477" s="16"/>
      <c r="I477" s="10"/>
      <c r="J477" s="10"/>
    </row>
    <row r="478" spans="1:10" x14ac:dyDescent="0.3">
      <c r="A478" s="10"/>
      <c r="B478" s="10"/>
      <c r="C478" s="16"/>
      <c r="D478" s="10"/>
      <c r="E478" s="10"/>
      <c r="F478" s="10"/>
      <c r="G478" s="19"/>
      <c r="H478" s="16"/>
      <c r="I478" s="10"/>
      <c r="J478" s="10"/>
    </row>
    <row r="479" spans="1:10" x14ac:dyDescent="0.3">
      <c r="A479" s="10"/>
      <c r="B479" s="10"/>
      <c r="C479" s="16"/>
      <c r="D479" s="10"/>
      <c r="E479" s="10"/>
      <c r="F479" s="10"/>
      <c r="G479" s="19"/>
      <c r="H479" s="16"/>
      <c r="I479" s="10"/>
      <c r="J479" s="10"/>
    </row>
    <row r="480" spans="1:10" x14ac:dyDescent="0.3">
      <c r="A480" s="10"/>
      <c r="B480" s="10"/>
      <c r="C480" s="16"/>
      <c r="D480" s="10"/>
      <c r="E480" s="10"/>
      <c r="F480" s="10"/>
      <c r="G480" s="19"/>
      <c r="H480" s="16"/>
      <c r="I480" s="10"/>
      <c r="J480" s="10"/>
    </row>
    <row r="481" spans="1:10" x14ac:dyDescent="0.3">
      <c r="A481" s="10"/>
      <c r="B481" s="10"/>
      <c r="C481" s="16"/>
      <c r="D481" s="10"/>
      <c r="E481" s="10"/>
      <c r="F481" s="10"/>
      <c r="G481" s="19"/>
      <c r="H481" s="16"/>
      <c r="I481" s="10"/>
      <c r="J481" s="10"/>
    </row>
    <row r="482" spans="1:10" x14ac:dyDescent="0.3">
      <c r="A482" s="10"/>
      <c r="B482" s="10"/>
      <c r="C482" s="16"/>
      <c r="D482" s="10"/>
      <c r="E482" s="10"/>
      <c r="F482" s="10"/>
      <c r="G482" s="19"/>
      <c r="H482" s="16"/>
      <c r="I482" s="10"/>
      <c r="J482" s="10"/>
    </row>
    <row r="483" spans="1:10" x14ac:dyDescent="0.3">
      <c r="A483" s="10"/>
      <c r="B483" s="10"/>
      <c r="C483" s="16"/>
      <c r="D483" s="10"/>
      <c r="E483" s="10"/>
      <c r="F483" s="10"/>
      <c r="G483" s="19"/>
      <c r="H483" s="16"/>
      <c r="I483" s="10"/>
      <c r="J483" s="10"/>
    </row>
    <row r="484" spans="1:10" x14ac:dyDescent="0.3">
      <c r="A484" s="10"/>
      <c r="B484" s="10"/>
      <c r="C484" s="16"/>
      <c r="D484" s="10"/>
      <c r="E484" s="10"/>
      <c r="F484" s="10"/>
      <c r="G484" s="19"/>
      <c r="H484" s="16"/>
      <c r="I484" s="10"/>
      <c r="J484" s="10"/>
    </row>
    <row r="485" spans="1:10" x14ac:dyDescent="0.3">
      <c r="A485" s="10"/>
      <c r="B485" s="10"/>
      <c r="C485" s="16"/>
      <c r="D485" s="10"/>
      <c r="E485" s="10"/>
      <c r="F485" s="10"/>
      <c r="G485" s="19"/>
      <c r="H485" s="16"/>
      <c r="I485" s="10"/>
      <c r="J485" s="10"/>
    </row>
    <row r="486" spans="1:10" x14ac:dyDescent="0.3">
      <c r="A486" s="10"/>
      <c r="B486" s="10"/>
      <c r="C486" s="16"/>
      <c r="D486" s="10"/>
      <c r="E486" s="10"/>
      <c r="F486" s="10"/>
      <c r="G486" s="19"/>
      <c r="H486" s="16"/>
      <c r="I486" s="10"/>
      <c r="J486" s="10"/>
    </row>
    <row r="487" spans="1:10" x14ac:dyDescent="0.3">
      <c r="A487" s="10"/>
      <c r="B487" s="10"/>
      <c r="C487" s="16"/>
      <c r="D487" s="10"/>
      <c r="E487" s="10"/>
      <c r="F487" s="10"/>
      <c r="G487" s="19"/>
      <c r="H487" s="16"/>
      <c r="I487" s="10"/>
      <c r="J487" s="10"/>
    </row>
    <row r="488" spans="1:10" x14ac:dyDescent="0.3">
      <c r="A488" s="10"/>
      <c r="B488" s="10"/>
      <c r="C488" s="16"/>
      <c r="D488" s="10"/>
      <c r="E488" s="10"/>
      <c r="F488" s="10"/>
      <c r="G488" s="19"/>
      <c r="H488" s="16"/>
      <c r="I488" s="10"/>
      <c r="J488" s="10"/>
    </row>
    <row r="489" spans="1:10" x14ac:dyDescent="0.3">
      <c r="A489" s="10"/>
      <c r="B489" s="10"/>
      <c r="C489" s="16"/>
      <c r="D489" s="10"/>
      <c r="E489" s="10"/>
      <c r="F489" s="10"/>
      <c r="G489" s="19"/>
      <c r="H489" s="16"/>
      <c r="I489" s="10"/>
      <c r="J489" s="10"/>
    </row>
    <row r="490" spans="1:10" x14ac:dyDescent="0.3">
      <c r="A490" s="10"/>
      <c r="B490" s="10"/>
      <c r="C490" s="16"/>
      <c r="D490" s="10"/>
      <c r="E490" s="10"/>
      <c r="F490" s="10"/>
      <c r="G490" s="19"/>
      <c r="H490" s="16"/>
      <c r="I490" s="10"/>
      <c r="J490" s="10"/>
    </row>
    <row r="491" spans="1:10" x14ac:dyDescent="0.3">
      <c r="A491" s="10"/>
      <c r="B491" s="10"/>
      <c r="C491" s="16"/>
      <c r="D491" s="10"/>
      <c r="E491" s="10"/>
      <c r="F491" s="10"/>
      <c r="G491" s="19"/>
      <c r="H491" s="16"/>
      <c r="I491" s="10"/>
      <c r="J491" s="10"/>
    </row>
    <row r="492" spans="1:10" x14ac:dyDescent="0.3">
      <c r="A492" s="10"/>
      <c r="B492" s="10"/>
      <c r="C492" s="16"/>
      <c r="D492" s="10"/>
      <c r="E492" s="10"/>
      <c r="F492" s="10"/>
      <c r="G492" s="19"/>
      <c r="H492" s="16"/>
      <c r="I492" s="10"/>
      <c r="J492" s="10"/>
    </row>
    <row r="493" spans="1:10" x14ac:dyDescent="0.3">
      <c r="A493" s="10"/>
      <c r="B493" s="10"/>
      <c r="C493" s="16"/>
      <c r="D493" s="10"/>
      <c r="E493" s="10"/>
      <c r="F493" s="10"/>
      <c r="G493" s="19"/>
      <c r="H493" s="16"/>
      <c r="I493" s="10"/>
      <c r="J493" s="10"/>
    </row>
    <row r="494" spans="1:10" x14ac:dyDescent="0.3">
      <c r="A494" s="10"/>
      <c r="B494" s="10"/>
      <c r="C494" s="16"/>
      <c r="D494" s="10"/>
      <c r="E494" s="10"/>
      <c r="F494" s="10"/>
      <c r="G494" s="19"/>
      <c r="H494" s="16"/>
      <c r="I494" s="10"/>
      <c r="J494" s="10"/>
    </row>
    <row r="495" spans="1:10" x14ac:dyDescent="0.3">
      <c r="A495" s="10"/>
      <c r="B495" s="10"/>
      <c r="C495" s="16"/>
      <c r="D495" s="10"/>
      <c r="E495" s="10"/>
      <c r="F495" s="10"/>
      <c r="G495" s="19"/>
      <c r="H495" s="16"/>
      <c r="I495" s="10"/>
      <c r="J495" s="10"/>
    </row>
    <row r="496" spans="1:10" x14ac:dyDescent="0.3">
      <c r="A496" s="10"/>
      <c r="B496" s="10"/>
      <c r="C496" s="16"/>
      <c r="D496" s="10"/>
      <c r="E496" s="10"/>
      <c r="F496" s="10"/>
      <c r="G496" s="19"/>
      <c r="H496" s="16"/>
      <c r="I496" s="10"/>
      <c r="J496" s="10"/>
    </row>
    <row r="497" spans="1:10" x14ac:dyDescent="0.3">
      <c r="A497" s="10"/>
      <c r="B497" s="10"/>
      <c r="C497" s="16"/>
      <c r="D497" s="10"/>
      <c r="E497" s="10"/>
      <c r="F497" s="10"/>
      <c r="G497" s="19"/>
      <c r="H497" s="16"/>
      <c r="I497" s="10"/>
      <c r="J497" s="10"/>
    </row>
    <row r="498" spans="1:10" x14ac:dyDescent="0.3">
      <c r="A498" s="10"/>
      <c r="B498" s="10"/>
      <c r="C498" s="16"/>
      <c r="D498" s="10"/>
      <c r="E498" s="10"/>
      <c r="F498" s="10"/>
      <c r="G498" s="19"/>
      <c r="H498" s="16"/>
      <c r="I498" s="10"/>
      <c r="J498" s="10"/>
    </row>
    <row r="499" spans="1:10" x14ac:dyDescent="0.3">
      <c r="A499" s="10"/>
      <c r="B499" s="10"/>
      <c r="C499" s="16"/>
      <c r="D499" s="10"/>
      <c r="E499" s="10"/>
      <c r="F499" s="10"/>
      <c r="G499" s="19"/>
      <c r="H499" s="16"/>
      <c r="I499" s="10"/>
      <c r="J499" s="10"/>
    </row>
    <row r="500" spans="1:10" x14ac:dyDescent="0.3">
      <c r="A500" s="10"/>
      <c r="B500" s="10"/>
      <c r="C500" s="16"/>
      <c r="D500" s="10"/>
      <c r="E500" s="10"/>
      <c r="F500" s="10"/>
      <c r="G500" s="19"/>
      <c r="H500" s="16"/>
      <c r="I500" s="10"/>
      <c r="J500" s="10"/>
    </row>
  </sheetData>
  <autoFilter ref="A1:J500" xr:uid="{00000000-0009-0000-0000-000004000000}"/>
  <conditionalFormatting sqref="I2:I500">
    <cfRule type="expression" dxfId="4" priority="2">
      <formula>$I2="Open"</formula>
    </cfRule>
    <cfRule type="expression" dxfId="3" priority="3">
      <formula>OR($I2="In Progress",$I2="With Vendor")</formula>
    </cfRule>
    <cfRule type="expression" dxfId="2" priority="4">
      <formula>$I2="Closed"</formula>
    </cfRule>
  </conditionalFormatting>
  <dataValidations count="2">
    <dataValidation type="list" allowBlank="1" showErrorMessage="1" errorTitle="Unknown asset tag" error="This tag is not in the Asset Register. Add the asset there first." sqref="B2:B500" xr:uid="{00000000-0002-0000-0400-000000000000}">
      <formula1>lst_AssetTags</formula1>
      <formula2>0</formula2>
    </dataValidation>
    <dataValidation type="list" allowBlank="1" showErrorMessage="1" errorTitle="Not on the list" error="Pick from the dropdown, or add the value on the Lists tab first." sqref="I2:I500" xr:uid="{00000000-0002-0000-0400-000001000000}">
      <formula1>lst_FaultStatus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  <pageSetUpPr fitToPage="1"/>
  </sheetPr>
  <dimension ref="A1:H50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1" customWidth="1"/>
    <col min="2" max="2" width="28" customWidth="1"/>
    <col min="3" max="4" width="10" customWidth="1"/>
    <col min="5" max="5" width="9" customWidth="1"/>
    <col min="6" max="7" width="10" customWidth="1"/>
    <col min="8" max="8" width="30" customWidth="1"/>
  </cols>
  <sheetData>
    <row r="1" spans="1:8" ht="31.5" customHeight="1" x14ac:dyDescent="0.3">
      <c r="A1" s="14" t="s">
        <v>146</v>
      </c>
      <c r="B1" s="14" t="s">
        <v>147</v>
      </c>
      <c r="C1" s="14" t="s">
        <v>148</v>
      </c>
      <c r="D1" s="14" t="s">
        <v>149</v>
      </c>
      <c r="E1" s="15" t="s">
        <v>150</v>
      </c>
      <c r="F1" s="14" t="s">
        <v>151</v>
      </c>
      <c r="G1" s="15" t="s">
        <v>152</v>
      </c>
      <c r="H1" s="14" t="s">
        <v>54</v>
      </c>
    </row>
    <row r="2" spans="1:8" x14ac:dyDescent="0.3">
      <c r="A2" s="18" t="s">
        <v>153</v>
      </c>
      <c r="B2" s="18" t="s">
        <v>72</v>
      </c>
      <c r="C2" s="20">
        <v>30</v>
      </c>
      <c r="D2" s="20">
        <v>22</v>
      </c>
      <c r="E2" s="17">
        <f t="shared" ref="E2:E65" si="0">IF($A2="","",$C2-$D2)</f>
        <v>8</v>
      </c>
      <c r="F2" s="20">
        <v>10</v>
      </c>
      <c r="G2" s="17" t="str">
        <f t="shared" ref="G2:G65" si="1">IF($A2="","",IF($F2="","",IF($C2-$D2&lt;=$F2,"REORDER","OK")))</f>
        <v>REORDER</v>
      </c>
      <c r="H2" s="10"/>
    </row>
    <row r="3" spans="1:8" x14ac:dyDescent="0.3">
      <c r="A3" s="10"/>
      <c r="B3" s="10"/>
      <c r="C3" s="21"/>
      <c r="D3" s="21"/>
      <c r="E3" s="17" t="str">
        <f t="shared" si="0"/>
        <v/>
      </c>
      <c r="F3" s="21"/>
      <c r="G3" s="17" t="str">
        <f t="shared" si="1"/>
        <v/>
      </c>
      <c r="H3" s="10"/>
    </row>
    <row r="4" spans="1:8" x14ac:dyDescent="0.3">
      <c r="A4" s="10"/>
      <c r="B4" s="10"/>
      <c r="C4" s="21"/>
      <c r="D4" s="21"/>
      <c r="E4" s="17" t="str">
        <f t="shared" si="0"/>
        <v/>
      </c>
      <c r="F4" s="21"/>
      <c r="G4" s="17" t="str">
        <f t="shared" si="1"/>
        <v/>
      </c>
      <c r="H4" s="10"/>
    </row>
    <row r="5" spans="1:8" x14ac:dyDescent="0.3">
      <c r="A5" s="10"/>
      <c r="B5" s="10"/>
      <c r="C5" s="21"/>
      <c r="D5" s="21"/>
      <c r="E5" s="17" t="str">
        <f t="shared" si="0"/>
        <v/>
      </c>
      <c r="F5" s="21"/>
      <c r="G5" s="17" t="str">
        <f t="shared" si="1"/>
        <v/>
      </c>
      <c r="H5" s="10"/>
    </row>
    <row r="6" spans="1:8" x14ac:dyDescent="0.3">
      <c r="A6" s="10"/>
      <c r="B6" s="10"/>
      <c r="C6" s="21"/>
      <c r="D6" s="21"/>
      <c r="E6" s="17" t="str">
        <f t="shared" si="0"/>
        <v/>
      </c>
      <c r="F6" s="21"/>
      <c r="G6" s="17" t="str">
        <f t="shared" si="1"/>
        <v/>
      </c>
      <c r="H6" s="10"/>
    </row>
    <row r="7" spans="1:8" x14ac:dyDescent="0.3">
      <c r="A7" s="10"/>
      <c r="B7" s="10"/>
      <c r="C7" s="21"/>
      <c r="D7" s="21"/>
      <c r="E7" s="17" t="str">
        <f t="shared" si="0"/>
        <v/>
      </c>
      <c r="F7" s="21"/>
      <c r="G7" s="17" t="str">
        <f t="shared" si="1"/>
        <v/>
      </c>
      <c r="H7" s="10"/>
    </row>
    <row r="8" spans="1:8" x14ac:dyDescent="0.3">
      <c r="A8" s="10"/>
      <c r="B8" s="10"/>
      <c r="C8" s="21"/>
      <c r="D8" s="21"/>
      <c r="E8" s="17" t="str">
        <f t="shared" si="0"/>
        <v/>
      </c>
      <c r="F8" s="21"/>
      <c r="G8" s="17" t="str">
        <f t="shared" si="1"/>
        <v/>
      </c>
      <c r="H8" s="10"/>
    </row>
    <row r="9" spans="1:8" x14ac:dyDescent="0.3">
      <c r="A9" s="10"/>
      <c r="B9" s="10"/>
      <c r="C9" s="21"/>
      <c r="D9" s="21"/>
      <c r="E9" s="17" t="str">
        <f t="shared" si="0"/>
        <v/>
      </c>
      <c r="F9" s="21"/>
      <c r="G9" s="17" t="str">
        <f t="shared" si="1"/>
        <v/>
      </c>
      <c r="H9" s="10"/>
    </row>
    <row r="10" spans="1:8" x14ac:dyDescent="0.3">
      <c r="A10" s="10"/>
      <c r="B10" s="10"/>
      <c r="C10" s="21"/>
      <c r="D10" s="21"/>
      <c r="E10" s="17" t="str">
        <f t="shared" si="0"/>
        <v/>
      </c>
      <c r="F10" s="21"/>
      <c r="G10" s="17" t="str">
        <f t="shared" si="1"/>
        <v/>
      </c>
      <c r="H10" s="10"/>
    </row>
    <row r="11" spans="1:8" x14ac:dyDescent="0.3">
      <c r="A11" s="10"/>
      <c r="B11" s="10"/>
      <c r="C11" s="21"/>
      <c r="D11" s="21"/>
      <c r="E11" s="17" t="str">
        <f t="shared" si="0"/>
        <v/>
      </c>
      <c r="F11" s="21"/>
      <c r="G11" s="17" t="str">
        <f t="shared" si="1"/>
        <v/>
      </c>
      <c r="H11" s="10"/>
    </row>
    <row r="12" spans="1:8" x14ac:dyDescent="0.3">
      <c r="A12" s="10"/>
      <c r="B12" s="10"/>
      <c r="C12" s="21"/>
      <c r="D12" s="21"/>
      <c r="E12" s="17" t="str">
        <f t="shared" si="0"/>
        <v/>
      </c>
      <c r="F12" s="21"/>
      <c r="G12" s="17" t="str">
        <f t="shared" si="1"/>
        <v/>
      </c>
      <c r="H12" s="10"/>
    </row>
    <row r="13" spans="1:8" x14ac:dyDescent="0.3">
      <c r="A13" s="10"/>
      <c r="B13" s="10"/>
      <c r="C13" s="21"/>
      <c r="D13" s="21"/>
      <c r="E13" s="17" t="str">
        <f t="shared" si="0"/>
        <v/>
      </c>
      <c r="F13" s="21"/>
      <c r="G13" s="17" t="str">
        <f t="shared" si="1"/>
        <v/>
      </c>
      <c r="H13" s="10"/>
    </row>
    <row r="14" spans="1:8" x14ac:dyDescent="0.3">
      <c r="A14" s="10"/>
      <c r="B14" s="10"/>
      <c r="C14" s="21"/>
      <c r="D14" s="21"/>
      <c r="E14" s="17" t="str">
        <f t="shared" si="0"/>
        <v/>
      </c>
      <c r="F14" s="21"/>
      <c r="G14" s="17" t="str">
        <f t="shared" si="1"/>
        <v/>
      </c>
      <c r="H14" s="10"/>
    </row>
    <row r="15" spans="1:8" x14ac:dyDescent="0.3">
      <c r="A15" s="10"/>
      <c r="B15" s="10"/>
      <c r="C15" s="21"/>
      <c r="D15" s="21"/>
      <c r="E15" s="17" t="str">
        <f t="shared" si="0"/>
        <v/>
      </c>
      <c r="F15" s="21"/>
      <c r="G15" s="17" t="str">
        <f t="shared" si="1"/>
        <v/>
      </c>
      <c r="H15" s="10"/>
    </row>
    <row r="16" spans="1:8" x14ac:dyDescent="0.3">
      <c r="A16" s="10"/>
      <c r="B16" s="10"/>
      <c r="C16" s="21"/>
      <c r="D16" s="21"/>
      <c r="E16" s="17" t="str">
        <f t="shared" si="0"/>
        <v/>
      </c>
      <c r="F16" s="21"/>
      <c r="G16" s="17" t="str">
        <f t="shared" si="1"/>
        <v/>
      </c>
      <c r="H16" s="10"/>
    </row>
    <row r="17" spans="1:8" x14ac:dyDescent="0.3">
      <c r="A17" s="10"/>
      <c r="B17" s="10"/>
      <c r="C17" s="21"/>
      <c r="D17" s="21"/>
      <c r="E17" s="17" t="str">
        <f t="shared" si="0"/>
        <v/>
      </c>
      <c r="F17" s="21"/>
      <c r="G17" s="17" t="str">
        <f t="shared" si="1"/>
        <v/>
      </c>
      <c r="H17" s="10"/>
    </row>
    <row r="18" spans="1:8" x14ac:dyDescent="0.3">
      <c r="A18" s="10"/>
      <c r="B18" s="10"/>
      <c r="C18" s="21"/>
      <c r="D18" s="21"/>
      <c r="E18" s="17" t="str">
        <f t="shared" si="0"/>
        <v/>
      </c>
      <c r="F18" s="21"/>
      <c r="G18" s="17" t="str">
        <f t="shared" si="1"/>
        <v/>
      </c>
      <c r="H18" s="10"/>
    </row>
    <row r="19" spans="1:8" x14ac:dyDescent="0.3">
      <c r="A19" s="10"/>
      <c r="B19" s="10"/>
      <c r="C19" s="21"/>
      <c r="D19" s="21"/>
      <c r="E19" s="17" t="str">
        <f t="shared" si="0"/>
        <v/>
      </c>
      <c r="F19" s="21"/>
      <c r="G19" s="17" t="str">
        <f t="shared" si="1"/>
        <v/>
      </c>
      <c r="H19" s="10"/>
    </row>
    <row r="20" spans="1:8" x14ac:dyDescent="0.3">
      <c r="A20" s="10"/>
      <c r="B20" s="10"/>
      <c r="C20" s="21"/>
      <c r="D20" s="21"/>
      <c r="E20" s="17" t="str">
        <f t="shared" si="0"/>
        <v/>
      </c>
      <c r="F20" s="21"/>
      <c r="G20" s="17" t="str">
        <f t="shared" si="1"/>
        <v/>
      </c>
      <c r="H20" s="10"/>
    </row>
    <row r="21" spans="1:8" x14ac:dyDescent="0.3">
      <c r="A21" s="10"/>
      <c r="B21" s="10"/>
      <c r="C21" s="21"/>
      <c r="D21" s="21"/>
      <c r="E21" s="17" t="str">
        <f t="shared" si="0"/>
        <v/>
      </c>
      <c r="F21" s="21"/>
      <c r="G21" s="17" t="str">
        <f t="shared" si="1"/>
        <v/>
      </c>
      <c r="H21" s="10"/>
    </row>
    <row r="22" spans="1:8" x14ac:dyDescent="0.3">
      <c r="A22" s="10"/>
      <c r="B22" s="10"/>
      <c r="C22" s="21"/>
      <c r="D22" s="21"/>
      <c r="E22" s="17" t="str">
        <f t="shared" si="0"/>
        <v/>
      </c>
      <c r="F22" s="21"/>
      <c r="G22" s="17" t="str">
        <f t="shared" si="1"/>
        <v/>
      </c>
      <c r="H22" s="10"/>
    </row>
    <row r="23" spans="1:8" x14ac:dyDescent="0.3">
      <c r="A23" s="10"/>
      <c r="B23" s="10"/>
      <c r="C23" s="21"/>
      <c r="D23" s="21"/>
      <c r="E23" s="17" t="str">
        <f t="shared" si="0"/>
        <v/>
      </c>
      <c r="F23" s="21"/>
      <c r="G23" s="17" t="str">
        <f t="shared" si="1"/>
        <v/>
      </c>
      <c r="H23" s="10"/>
    </row>
    <row r="24" spans="1:8" x14ac:dyDescent="0.3">
      <c r="A24" s="10"/>
      <c r="B24" s="10"/>
      <c r="C24" s="21"/>
      <c r="D24" s="21"/>
      <c r="E24" s="17" t="str">
        <f t="shared" si="0"/>
        <v/>
      </c>
      <c r="F24" s="21"/>
      <c r="G24" s="17" t="str">
        <f t="shared" si="1"/>
        <v/>
      </c>
      <c r="H24" s="10"/>
    </row>
    <row r="25" spans="1:8" x14ac:dyDescent="0.3">
      <c r="A25" s="10"/>
      <c r="B25" s="10"/>
      <c r="C25" s="21"/>
      <c r="D25" s="21"/>
      <c r="E25" s="17" t="str">
        <f t="shared" si="0"/>
        <v/>
      </c>
      <c r="F25" s="21"/>
      <c r="G25" s="17" t="str">
        <f t="shared" si="1"/>
        <v/>
      </c>
      <c r="H25" s="10"/>
    </row>
    <row r="26" spans="1:8" x14ac:dyDescent="0.3">
      <c r="A26" s="10"/>
      <c r="B26" s="10"/>
      <c r="C26" s="21"/>
      <c r="D26" s="21"/>
      <c r="E26" s="17" t="str">
        <f t="shared" si="0"/>
        <v/>
      </c>
      <c r="F26" s="21"/>
      <c r="G26" s="17" t="str">
        <f t="shared" si="1"/>
        <v/>
      </c>
      <c r="H26" s="10"/>
    </row>
    <row r="27" spans="1:8" x14ac:dyDescent="0.3">
      <c r="A27" s="10"/>
      <c r="B27" s="10"/>
      <c r="C27" s="21"/>
      <c r="D27" s="21"/>
      <c r="E27" s="17" t="str">
        <f t="shared" si="0"/>
        <v/>
      </c>
      <c r="F27" s="21"/>
      <c r="G27" s="17" t="str">
        <f t="shared" si="1"/>
        <v/>
      </c>
      <c r="H27" s="10"/>
    </row>
    <row r="28" spans="1:8" x14ac:dyDescent="0.3">
      <c r="A28" s="10"/>
      <c r="B28" s="10"/>
      <c r="C28" s="21"/>
      <c r="D28" s="21"/>
      <c r="E28" s="17" t="str">
        <f t="shared" si="0"/>
        <v/>
      </c>
      <c r="F28" s="21"/>
      <c r="G28" s="17" t="str">
        <f t="shared" si="1"/>
        <v/>
      </c>
      <c r="H28" s="10"/>
    </row>
    <row r="29" spans="1:8" x14ac:dyDescent="0.3">
      <c r="A29" s="10"/>
      <c r="B29" s="10"/>
      <c r="C29" s="21"/>
      <c r="D29" s="21"/>
      <c r="E29" s="17" t="str">
        <f t="shared" si="0"/>
        <v/>
      </c>
      <c r="F29" s="21"/>
      <c r="G29" s="17" t="str">
        <f t="shared" si="1"/>
        <v/>
      </c>
      <c r="H29" s="10"/>
    </row>
    <row r="30" spans="1:8" x14ac:dyDescent="0.3">
      <c r="A30" s="10"/>
      <c r="B30" s="10"/>
      <c r="C30" s="21"/>
      <c r="D30" s="21"/>
      <c r="E30" s="17" t="str">
        <f t="shared" si="0"/>
        <v/>
      </c>
      <c r="F30" s="21"/>
      <c r="G30" s="17" t="str">
        <f t="shared" si="1"/>
        <v/>
      </c>
      <c r="H30" s="10"/>
    </row>
    <row r="31" spans="1:8" x14ac:dyDescent="0.3">
      <c r="A31" s="10"/>
      <c r="B31" s="10"/>
      <c r="C31" s="21"/>
      <c r="D31" s="21"/>
      <c r="E31" s="17" t="str">
        <f t="shared" si="0"/>
        <v/>
      </c>
      <c r="F31" s="21"/>
      <c r="G31" s="17" t="str">
        <f t="shared" si="1"/>
        <v/>
      </c>
      <c r="H31" s="10"/>
    </row>
    <row r="32" spans="1:8" x14ac:dyDescent="0.3">
      <c r="A32" s="10"/>
      <c r="B32" s="10"/>
      <c r="C32" s="21"/>
      <c r="D32" s="21"/>
      <c r="E32" s="17" t="str">
        <f t="shared" si="0"/>
        <v/>
      </c>
      <c r="F32" s="21"/>
      <c r="G32" s="17" t="str">
        <f t="shared" si="1"/>
        <v/>
      </c>
      <c r="H32" s="10"/>
    </row>
    <row r="33" spans="1:8" x14ac:dyDescent="0.3">
      <c r="A33" s="10"/>
      <c r="B33" s="10"/>
      <c r="C33" s="21"/>
      <c r="D33" s="21"/>
      <c r="E33" s="17" t="str">
        <f t="shared" si="0"/>
        <v/>
      </c>
      <c r="F33" s="21"/>
      <c r="G33" s="17" t="str">
        <f t="shared" si="1"/>
        <v/>
      </c>
      <c r="H33" s="10"/>
    </row>
    <row r="34" spans="1:8" x14ac:dyDescent="0.3">
      <c r="A34" s="10"/>
      <c r="B34" s="10"/>
      <c r="C34" s="21"/>
      <c r="D34" s="21"/>
      <c r="E34" s="17" t="str">
        <f t="shared" si="0"/>
        <v/>
      </c>
      <c r="F34" s="21"/>
      <c r="G34" s="17" t="str">
        <f t="shared" si="1"/>
        <v/>
      </c>
      <c r="H34" s="10"/>
    </row>
    <row r="35" spans="1:8" x14ac:dyDescent="0.3">
      <c r="A35" s="10"/>
      <c r="B35" s="10"/>
      <c r="C35" s="21"/>
      <c r="D35" s="21"/>
      <c r="E35" s="17" t="str">
        <f t="shared" si="0"/>
        <v/>
      </c>
      <c r="F35" s="21"/>
      <c r="G35" s="17" t="str">
        <f t="shared" si="1"/>
        <v/>
      </c>
      <c r="H35" s="10"/>
    </row>
    <row r="36" spans="1:8" x14ac:dyDescent="0.3">
      <c r="A36" s="10"/>
      <c r="B36" s="10"/>
      <c r="C36" s="21"/>
      <c r="D36" s="21"/>
      <c r="E36" s="17" t="str">
        <f t="shared" si="0"/>
        <v/>
      </c>
      <c r="F36" s="21"/>
      <c r="G36" s="17" t="str">
        <f t="shared" si="1"/>
        <v/>
      </c>
      <c r="H36" s="10"/>
    </row>
    <row r="37" spans="1:8" x14ac:dyDescent="0.3">
      <c r="A37" s="10"/>
      <c r="B37" s="10"/>
      <c r="C37" s="21"/>
      <c r="D37" s="21"/>
      <c r="E37" s="17" t="str">
        <f t="shared" si="0"/>
        <v/>
      </c>
      <c r="F37" s="21"/>
      <c r="G37" s="17" t="str">
        <f t="shared" si="1"/>
        <v/>
      </c>
      <c r="H37" s="10"/>
    </row>
    <row r="38" spans="1:8" x14ac:dyDescent="0.3">
      <c r="A38" s="10"/>
      <c r="B38" s="10"/>
      <c r="C38" s="21"/>
      <c r="D38" s="21"/>
      <c r="E38" s="17" t="str">
        <f t="shared" si="0"/>
        <v/>
      </c>
      <c r="F38" s="21"/>
      <c r="G38" s="17" t="str">
        <f t="shared" si="1"/>
        <v/>
      </c>
      <c r="H38" s="10"/>
    </row>
    <row r="39" spans="1:8" x14ac:dyDescent="0.3">
      <c r="A39" s="10"/>
      <c r="B39" s="10"/>
      <c r="C39" s="21"/>
      <c r="D39" s="21"/>
      <c r="E39" s="17" t="str">
        <f t="shared" si="0"/>
        <v/>
      </c>
      <c r="F39" s="21"/>
      <c r="G39" s="17" t="str">
        <f t="shared" si="1"/>
        <v/>
      </c>
      <c r="H39" s="10"/>
    </row>
    <row r="40" spans="1:8" x14ac:dyDescent="0.3">
      <c r="A40" s="10"/>
      <c r="B40" s="10"/>
      <c r="C40" s="21"/>
      <c r="D40" s="21"/>
      <c r="E40" s="17" t="str">
        <f t="shared" si="0"/>
        <v/>
      </c>
      <c r="F40" s="21"/>
      <c r="G40" s="17" t="str">
        <f t="shared" si="1"/>
        <v/>
      </c>
      <c r="H40" s="10"/>
    </row>
    <row r="41" spans="1:8" x14ac:dyDescent="0.3">
      <c r="A41" s="10"/>
      <c r="B41" s="10"/>
      <c r="C41" s="21"/>
      <c r="D41" s="21"/>
      <c r="E41" s="17" t="str">
        <f t="shared" si="0"/>
        <v/>
      </c>
      <c r="F41" s="21"/>
      <c r="G41" s="17" t="str">
        <f t="shared" si="1"/>
        <v/>
      </c>
      <c r="H41" s="10"/>
    </row>
    <row r="42" spans="1:8" x14ac:dyDescent="0.3">
      <c r="A42" s="10"/>
      <c r="B42" s="10"/>
      <c r="C42" s="21"/>
      <c r="D42" s="21"/>
      <c r="E42" s="17" t="str">
        <f t="shared" si="0"/>
        <v/>
      </c>
      <c r="F42" s="21"/>
      <c r="G42" s="17" t="str">
        <f t="shared" si="1"/>
        <v/>
      </c>
      <c r="H42" s="10"/>
    </row>
    <row r="43" spans="1:8" x14ac:dyDescent="0.3">
      <c r="A43" s="10"/>
      <c r="B43" s="10"/>
      <c r="C43" s="21"/>
      <c r="D43" s="21"/>
      <c r="E43" s="17" t="str">
        <f t="shared" si="0"/>
        <v/>
      </c>
      <c r="F43" s="21"/>
      <c r="G43" s="17" t="str">
        <f t="shared" si="1"/>
        <v/>
      </c>
      <c r="H43" s="10"/>
    </row>
    <row r="44" spans="1:8" x14ac:dyDescent="0.3">
      <c r="A44" s="10"/>
      <c r="B44" s="10"/>
      <c r="C44" s="21"/>
      <c r="D44" s="21"/>
      <c r="E44" s="17" t="str">
        <f t="shared" si="0"/>
        <v/>
      </c>
      <c r="F44" s="21"/>
      <c r="G44" s="17" t="str">
        <f t="shared" si="1"/>
        <v/>
      </c>
      <c r="H44" s="10"/>
    </row>
    <row r="45" spans="1:8" x14ac:dyDescent="0.3">
      <c r="A45" s="10"/>
      <c r="B45" s="10"/>
      <c r="C45" s="21"/>
      <c r="D45" s="21"/>
      <c r="E45" s="17" t="str">
        <f t="shared" si="0"/>
        <v/>
      </c>
      <c r="F45" s="21"/>
      <c r="G45" s="17" t="str">
        <f t="shared" si="1"/>
        <v/>
      </c>
      <c r="H45" s="10"/>
    </row>
    <row r="46" spans="1:8" x14ac:dyDescent="0.3">
      <c r="A46" s="10"/>
      <c r="B46" s="10"/>
      <c r="C46" s="21"/>
      <c r="D46" s="21"/>
      <c r="E46" s="17" t="str">
        <f t="shared" si="0"/>
        <v/>
      </c>
      <c r="F46" s="21"/>
      <c r="G46" s="17" t="str">
        <f t="shared" si="1"/>
        <v/>
      </c>
      <c r="H46" s="10"/>
    </row>
    <row r="47" spans="1:8" x14ac:dyDescent="0.3">
      <c r="A47" s="10"/>
      <c r="B47" s="10"/>
      <c r="C47" s="21"/>
      <c r="D47" s="21"/>
      <c r="E47" s="17" t="str">
        <f t="shared" si="0"/>
        <v/>
      </c>
      <c r="F47" s="21"/>
      <c r="G47" s="17" t="str">
        <f t="shared" si="1"/>
        <v/>
      </c>
      <c r="H47" s="10"/>
    </row>
    <row r="48" spans="1:8" x14ac:dyDescent="0.3">
      <c r="A48" s="10"/>
      <c r="B48" s="10"/>
      <c r="C48" s="21"/>
      <c r="D48" s="21"/>
      <c r="E48" s="17" t="str">
        <f t="shared" si="0"/>
        <v/>
      </c>
      <c r="F48" s="21"/>
      <c r="G48" s="17" t="str">
        <f t="shared" si="1"/>
        <v/>
      </c>
      <c r="H48" s="10"/>
    </row>
    <row r="49" spans="1:8" x14ac:dyDescent="0.3">
      <c r="A49" s="10"/>
      <c r="B49" s="10"/>
      <c r="C49" s="21"/>
      <c r="D49" s="21"/>
      <c r="E49" s="17" t="str">
        <f t="shared" si="0"/>
        <v/>
      </c>
      <c r="F49" s="21"/>
      <c r="G49" s="17" t="str">
        <f t="shared" si="1"/>
        <v/>
      </c>
      <c r="H49" s="10"/>
    </row>
    <row r="50" spans="1:8" x14ac:dyDescent="0.3">
      <c r="A50" s="10"/>
      <c r="B50" s="10"/>
      <c r="C50" s="21"/>
      <c r="D50" s="21"/>
      <c r="E50" s="17" t="str">
        <f t="shared" si="0"/>
        <v/>
      </c>
      <c r="F50" s="21"/>
      <c r="G50" s="17" t="str">
        <f t="shared" si="1"/>
        <v/>
      </c>
      <c r="H50" s="10"/>
    </row>
    <row r="51" spans="1:8" x14ac:dyDescent="0.3">
      <c r="A51" s="10"/>
      <c r="B51" s="10"/>
      <c r="C51" s="21"/>
      <c r="D51" s="21"/>
      <c r="E51" s="17" t="str">
        <f t="shared" si="0"/>
        <v/>
      </c>
      <c r="F51" s="21"/>
      <c r="G51" s="17" t="str">
        <f t="shared" si="1"/>
        <v/>
      </c>
      <c r="H51" s="10"/>
    </row>
    <row r="52" spans="1:8" x14ac:dyDescent="0.3">
      <c r="A52" s="10"/>
      <c r="B52" s="10"/>
      <c r="C52" s="21"/>
      <c r="D52" s="21"/>
      <c r="E52" s="17" t="str">
        <f t="shared" si="0"/>
        <v/>
      </c>
      <c r="F52" s="21"/>
      <c r="G52" s="17" t="str">
        <f t="shared" si="1"/>
        <v/>
      </c>
      <c r="H52" s="10"/>
    </row>
    <row r="53" spans="1:8" x14ac:dyDescent="0.3">
      <c r="A53" s="10"/>
      <c r="B53" s="10"/>
      <c r="C53" s="21"/>
      <c r="D53" s="21"/>
      <c r="E53" s="17" t="str">
        <f t="shared" si="0"/>
        <v/>
      </c>
      <c r="F53" s="21"/>
      <c r="G53" s="17" t="str">
        <f t="shared" si="1"/>
        <v/>
      </c>
      <c r="H53" s="10"/>
    </row>
    <row r="54" spans="1:8" x14ac:dyDescent="0.3">
      <c r="A54" s="10"/>
      <c r="B54" s="10"/>
      <c r="C54" s="21"/>
      <c r="D54" s="21"/>
      <c r="E54" s="17" t="str">
        <f t="shared" si="0"/>
        <v/>
      </c>
      <c r="F54" s="21"/>
      <c r="G54" s="17" t="str">
        <f t="shared" si="1"/>
        <v/>
      </c>
      <c r="H54" s="10"/>
    </row>
    <row r="55" spans="1:8" x14ac:dyDescent="0.3">
      <c r="A55" s="10"/>
      <c r="B55" s="10"/>
      <c r="C55" s="21"/>
      <c r="D55" s="21"/>
      <c r="E55" s="17" t="str">
        <f t="shared" si="0"/>
        <v/>
      </c>
      <c r="F55" s="21"/>
      <c r="G55" s="17" t="str">
        <f t="shared" si="1"/>
        <v/>
      </c>
      <c r="H55" s="10"/>
    </row>
    <row r="56" spans="1:8" x14ac:dyDescent="0.3">
      <c r="A56" s="10"/>
      <c r="B56" s="10"/>
      <c r="C56" s="21"/>
      <c r="D56" s="21"/>
      <c r="E56" s="17" t="str">
        <f t="shared" si="0"/>
        <v/>
      </c>
      <c r="F56" s="21"/>
      <c r="G56" s="17" t="str">
        <f t="shared" si="1"/>
        <v/>
      </c>
      <c r="H56" s="10"/>
    </row>
    <row r="57" spans="1:8" x14ac:dyDescent="0.3">
      <c r="A57" s="10"/>
      <c r="B57" s="10"/>
      <c r="C57" s="21"/>
      <c r="D57" s="21"/>
      <c r="E57" s="17" t="str">
        <f t="shared" si="0"/>
        <v/>
      </c>
      <c r="F57" s="21"/>
      <c r="G57" s="17" t="str">
        <f t="shared" si="1"/>
        <v/>
      </c>
      <c r="H57" s="10"/>
    </row>
    <row r="58" spans="1:8" x14ac:dyDescent="0.3">
      <c r="A58" s="10"/>
      <c r="B58" s="10"/>
      <c r="C58" s="21"/>
      <c r="D58" s="21"/>
      <c r="E58" s="17" t="str">
        <f t="shared" si="0"/>
        <v/>
      </c>
      <c r="F58" s="21"/>
      <c r="G58" s="17" t="str">
        <f t="shared" si="1"/>
        <v/>
      </c>
      <c r="H58" s="10"/>
    </row>
    <row r="59" spans="1:8" x14ac:dyDescent="0.3">
      <c r="A59" s="10"/>
      <c r="B59" s="10"/>
      <c r="C59" s="21"/>
      <c r="D59" s="21"/>
      <c r="E59" s="17" t="str">
        <f t="shared" si="0"/>
        <v/>
      </c>
      <c r="F59" s="21"/>
      <c r="G59" s="17" t="str">
        <f t="shared" si="1"/>
        <v/>
      </c>
      <c r="H59" s="10"/>
    </row>
    <row r="60" spans="1:8" x14ac:dyDescent="0.3">
      <c r="A60" s="10"/>
      <c r="B60" s="10"/>
      <c r="C60" s="21"/>
      <c r="D60" s="21"/>
      <c r="E60" s="17" t="str">
        <f t="shared" si="0"/>
        <v/>
      </c>
      <c r="F60" s="21"/>
      <c r="G60" s="17" t="str">
        <f t="shared" si="1"/>
        <v/>
      </c>
      <c r="H60" s="10"/>
    </row>
    <row r="61" spans="1:8" x14ac:dyDescent="0.3">
      <c r="A61" s="10"/>
      <c r="B61" s="10"/>
      <c r="C61" s="21"/>
      <c r="D61" s="21"/>
      <c r="E61" s="17" t="str">
        <f t="shared" si="0"/>
        <v/>
      </c>
      <c r="F61" s="21"/>
      <c r="G61" s="17" t="str">
        <f t="shared" si="1"/>
        <v/>
      </c>
      <c r="H61" s="10"/>
    </row>
    <row r="62" spans="1:8" x14ac:dyDescent="0.3">
      <c r="A62" s="10"/>
      <c r="B62" s="10"/>
      <c r="C62" s="21"/>
      <c r="D62" s="21"/>
      <c r="E62" s="17" t="str">
        <f t="shared" si="0"/>
        <v/>
      </c>
      <c r="F62" s="21"/>
      <c r="G62" s="17" t="str">
        <f t="shared" si="1"/>
        <v/>
      </c>
      <c r="H62" s="10"/>
    </row>
    <row r="63" spans="1:8" x14ac:dyDescent="0.3">
      <c r="A63" s="10"/>
      <c r="B63" s="10"/>
      <c r="C63" s="21"/>
      <c r="D63" s="21"/>
      <c r="E63" s="17" t="str">
        <f t="shared" si="0"/>
        <v/>
      </c>
      <c r="F63" s="21"/>
      <c r="G63" s="17" t="str">
        <f t="shared" si="1"/>
        <v/>
      </c>
      <c r="H63" s="10"/>
    </row>
    <row r="64" spans="1:8" x14ac:dyDescent="0.3">
      <c r="A64" s="10"/>
      <c r="B64" s="10"/>
      <c r="C64" s="21"/>
      <c r="D64" s="21"/>
      <c r="E64" s="17" t="str">
        <f t="shared" si="0"/>
        <v/>
      </c>
      <c r="F64" s="21"/>
      <c r="G64" s="17" t="str">
        <f t="shared" si="1"/>
        <v/>
      </c>
      <c r="H64" s="10"/>
    </row>
    <row r="65" spans="1:8" x14ac:dyDescent="0.3">
      <c r="A65" s="10"/>
      <c r="B65" s="10"/>
      <c r="C65" s="21"/>
      <c r="D65" s="21"/>
      <c r="E65" s="17" t="str">
        <f t="shared" si="0"/>
        <v/>
      </c>
      <c r="F65" s="21"/>
      <c r="G65" s="17" t="str">
        <f t="shared" si="1"/>
        <v/>
      </c>
      <c r="H65" s="10"/>
    </row>
    <row r="66" spans="1:8" x14ac:dyDescent="0.3">
      <c r="A66" s="10"/>
      <c r="B66" s="10"/>
      <c r="C66" s="21"/>
      <c r="D66" s="21"/>
      <c r="E66" s="17" t="str">
        <f t="shared" ref="E66:E129" si="2">IF($A66="","",$C66-$D66)</f>
        <v/>
      </c>
      <c r="F66" s="21"/>
      <c r="G66" s="17" t="str">
        <f t="shared" ref="G66:G129" si="3">IF($A66="","",IF($F66="","",IF($C66-$D66&lt;=$F66,"REORDER","OK")))</f>
        <v/>
      </c>
      <c r="H66" s="10"/>
    </row>
    <row r="67" spans="1:8" x14ac:dyDescent="0.3">
      <c r="A67" s="10"/>
      <c r="B67" s="10"/>
      <c r="C67" s="21"/>
      <c r="D67" s="21"/>
      <c r="E67" s="17" t="str">
        <f t="shared" si="2"/>
        <v/>
      </c>
      <c r="F67" s="21"/>
      <c r="G67" s="17" t="str">
        <f t="shared" si="3"/>
        <v/>
      </c>
      <c r="H67" s="10"/>
    </row>
    <row r="68" spans="1:8" x14ac:dyDescent="0.3">
      <c r="A68" s="10"/>
      <c r="B68" s="10"/>
      <c r="C68" s="21"/>
      <c r="D68" s="21"/>
      <c r="E68" s="17" t="str">
        <f t="shared" si="2"/>
        <v/>
      </c>
      <c r="F68" s="21"/>
      <c r="G68" s="17" t="str">
        <f t="shared" si="3"/>
        <v/>
      </c>
      <c r="H68" s="10"/>
    </row>
    <row r="69" spans="1:8" x14ac:dyDescent="0.3">
      <c r="A69" s="10"/>
      <c r="B69" s="10"/>
      <c r="C69" s="21"/>
      <c r="D69" s="21"/>
      <c r="E69" s="17" t="str">
        <f t="shared" si="2"/>
        <v/>
      </c>
      <c r="F69" s="21"/>
      <c r="G69" s="17" t="str">
        <f t="shared" si="3"/>
        <v/>
      </c>
      <c r="H69" s="10"/>
    </row>
    <row r="70" spans="1:8" x14ac:dyDescent="0.3">
      <c r="A70" s="10"/>
      <c r="B70" s="10"/>
      <c r="C70" s="21"/>
      <c r="D70" s="21"/>
      <c r="E70" s="17" t="str">
        <f t="shared" si="2"/>
        <v/>
      </c>
      <c r="F70" s="21"/>
      <c r="G70" s="17" t="str">
        <f t="shared" si="3"/>
        <v/>
      </c>
      <c r="H70" s="10"/>
    </row>
    <row r="71" spans="1:8" x14ac:dyDescent="0.3">
      <c r="A71" s="10"/>
      <c r="B71" s="10"/>
      <c r="C71" s="21"/>
      <c r="D71" s="21"/>
      <c r="E71" s="17" t="str">
        <f t="shared" si="2"/>
        <v/>
      </c>
      <c r="F71" s="21"/>
      <c r="G71" s="17" t="str">
        <f t="shared" si="3"/>
        <v/>
      </c>
      <c r="H71" s="10"/>
    </row>
    <row r="72" spans="1:8" x14ac:dyDescent="0.3">
      <c r="A72" s="10"/>
      <c r="B72" s="10"/>
      <c r="C72" s="21"/>
      <c r="D72" s="21"/>
      <c r="E72" s="17" t="str">
        <f t="shared" si="2"/>
        <v/>
      </c>
      <c r="F72" s="21"/>
      <c r="G72" s="17" t="str">
        <f t="shared" si="3"/>
        <v/>
      </c>
      <c r="H72" s="10"/>
    </row>
    <row r="73" spans="1:8" x14ac:dyDescent="0.3">
      <c r="A73" s="10"/>
      <c r="B73" s="10"/>
      <c r="C73" s="21"/>
      <c r="D73" s="21"/>
      <c r="E73" s="17" t="str">
        <f t="shared" si="2"/>
        <v/>
      </c>
      <c r="F73" s="21"/>
      <c r="G73" s="17" t="str">
        <f t="shared" si="3"/>
        <v/>
      </c>
      <c r="H73" s="10"/>
    </row>
    <row r="74" spans="1:8" x14ac:dyDescent="0.3">
      <c r="A74" s="10"/>
      <c r="B74" s="10"/>
      <c r="C74" s="21"/>
      <c r="D74" s="21"/>
      <c r="E74" s="17" t="str">
        <f t="shared" si="2"/>
        <v/>
      </c>
      <c r="F74" s="21"/>
      <c r="G74" s="17" t="str">
        <f t="shared" si="3"/>
        <v/>
      </c>
      <c r="H74" s="10"/>
    </row>
    <row r="75" spans="1:8" x14ac:dyDescent="0.3">
      <c r="A75" s="10"/>
      <c r="B75" s="10"/>
      <c r="C75" s="21"/>
      <c r="D75" s="21"/>
      <c r="E75" s="17" t="str">
        <f t="shared" si="2"/>
        <v/>
      </c>
      <c r="F75" s="21"/>
      <c r="G75" s="17" t="str">
        <f t="shared" si="3"/>
        <v/>
      </c>
      <c r="H75" s="10"/>
    </row>
    <row r="76" spans="1:8" x14ac:dyDescent="0.3">
      <c r="A76" s="10"/>
      <c r="B76" s="10"/>
      <c r="C76" s="21"/>
      <c r="D76" s="21"/>
      <c r="E76" s="17" t="str">
        <f t="shared" si="2"/>
        <v/>
      </c>
      <c r="F76" s="21"/>
      <c r="G76" s="17" t="str">
        <f t="shared" si="3"/>
        <v/>
      </c>
      <c r="H76" s="10"/>
    </row>
    <row r="77" spans="1:8" x14ac:dyDescent="0.3">
      <c r="A77" s="10"/>
      <c r="B77" s="10"/>
      <c r="C77" s="21"/>
      <c r="D77" s="21"/>
      <c r="E77" s="17" t="str">
        <f t="shared" si="2"/>
        <v/>
      </c>
      <c r="F77" s="21"/>
      <c r="G77" s="17" t="str">
        <f t="shared" si="3"/>
        <v/>
      </c>
      <c r="H77" s="10"/>
    </row>
    <row r="78" spans="1:8" x14ac:dyDescent="0.3">
      <c r="A78" s="10"/>
      <c r="B78" s="10"/>
      <c r="C78" s="21"/>
      <c r="D78" s="21"/>
      <c r="E78" s="17" t="str">
        <f t="shared" si="2"/>
        <v/>
      </c>
      <c r="F78" s="21"/>
      <c r="G78" s="17" t="str">
        <f t="shared" si="3"/>
        <v/>
      </c>
      <c r="H78" s="10"/>
    </row>
    <row r="79" spans="1:8" x14ac:dyDescent="0.3">
      <c r="A79" s="10"/>
      <c r="B79" s="10"/>
      <c r="C79" s="21"/>
      <c r="D79" s="21"/>
      <c r="E79" s="17" t="str">
        <f t="shared" si="2"/>
        <v/>
      </c>
      <c r="F79" s="21"/>
      <c r="G79" s="17" t="str">
        <f t="shared" si="3"/>
        <v/>
      </c>
      <c r="H79" s="10"/>
    </row>
    <row r="80" spans="1:8" x14ac:dyDescent="0.3">
      <c r="A80" s="10"/>
      <c r="B80" s="10"/>
      <c r="C80" s="21"/>
      <c r="D80" s="21"/>
      <c r="E80" s="17" t="str">
        <f t="shared" si="2"/>
        <v/>
      </c>
      <c r="F80" s="21"/>
      <c r="G80" s="17" t="str">
        <f t="shared" si="3"/>
        <v/>
      </c>
      <c r="H80" s="10"/>
    </row>
    <row r="81" spans="1:8" x14ac:dyDescent="0.3">
      <c r="A81" s="10"/>
      <c r="B81" s="10"/>
      <c r="C81" s="21"/>
      <c r="D81" s="21"/>
      <c r="E81" s="17" t="str">
        <f t="shared" si="2"/>
        <v/>
      </c>
      <c r="F81" s="21"/>
      <c r="G81" s="17" t="str">
        <f t="shared" si="3"/>
        <v/>
      </c>
      <c r="H81" s="10"/>
    </row>
    <row r="82" spans="1:8" x14ac:dyDescent="0.3">
      <c r="A82" s="10"/>
      <c r="B82" s="10"/>
      <c r="C82" s="21"/>
      <c r="D82" s="21"/>
      <c r="E82" s="17" t="str">
        <f t="shared" si="2"/>
        <v/>
      </c>
      <c r="F82" s="21"/>
      <c r="G82" s="17" t="str">
        <f t="shared" si="3"/>
        <v/>
      </c>
      <c r="H82" s="10"/>
    </row>
    <row r="83" spans="1:8" x14ac:dyDescent="0.3">
      <c r="A83" s="10"/>
      <c r="B83" s="10"/>
      <c r="C83" s="21"/>
      <c r="D83" s="21"/>
      <c r="E83" s="17" t="str">
        <f t="shared" si="2"/>
        <v/>
      </c>
      <c r="F83" s="21"/>
      <c r="G83" s="17" t="str">
        <f t="shared" si="3"/>
        <v/>
      </c>
      <c r="H83" s="10"/>
    </row>
    <row r="84" spans="1:8" x14ac:dyDescent="0.3">
      <c r="A84" s="10"/>
      <c r="B84" s="10"/>
      <c r="C84" s="21"/>
      <c r="D84" s="21"/>
      <c r="E84" s="17" t="str">
        <f t="shared" si="2"/>
        <v/>
      </c>
      <c r="F84" s="21"/>
      <c r="G84" s="17" t="str">
        <f t="shared" si="3"/>
        <v/>
      </c>
      <c r="H84" s="10"/>
    </row>
    <row r="85" spans="1:8" x14ac:dyDescent="0.3">
      <c r="A85" s="10"/>
      <c r="B85" s="10"/>
      <c r="C85" s="21"/>
      <c r="D85" s="21"/>
      <c r="E85" s="17" t="str">
        <f t="shared" si="2"/>
        <v/>
      </c>
      <c r="F85" s="21"/>
      <c r="G85" s="17" t="str">
        <f t="shared" si="3"/>
        <v/>
      </c>
      <c r="H85" s="10"/>
    </row>
    <row r="86" spans="1:8" x14ac:dyDescent="0.3">
      <c r="A86" s="10"/>
      <c r="B86" s="10"/>
      <c r="C86" s="21"/>
      <c r="D86" s="21"/>
      <c r="E86" s="17" t="str">
        <f t="shared" si="2"/>
        <v/>
      </c>
      <c r="F86" s="21"/>
      <c r="G86" s="17" t="str">
        <f t="shared" si="3"/>
        <v/>
      </c>
      <c r="H86" s="10"/>
    </row>
    <row r="87" spans="1:8" x14ac:dyDescent="0.3">
      <c r="A87" s="10"/>
      <c r="B87" s="10"/>
      <c r="C87" s="21"/>
      <c r="D87" s="21"/>
      <c r="E87" s="17" t="str">
        <f t="shared" si="2"/>
        <v/>
      </c>
      <c r="F87" s="21"/>
      <c r="G87" s="17" t="str">
        <f t="shared" si="3"/>
        <v/>
      </c>
      <c r="H87" s="10"/>
    </row>
    <row r="88" spans="1:8" x14ac:dyDescent="0.3">
      <c r="A88" s="10"/>
      <c r="B88" s="10"/>
      <c r="C88" s="21"/>
      <c r="D88" s="21"/>
      <c r="E88" s="17" t="str">
        <f t="shared" si="2"/>
        <v/>
      </c>
      <c r="F88" s="21"/>
      <c r="G88" s="17" t="str">
        <f t="shared" si="3"/>
        <v/>
      </c>
      <c r="H88" s="10"/>
    </row>
    <row r="89" spans="1:8" x14ac:dyDescent="0.3">
      <c r="A89" s="10"/>
      <c r="B89" s="10"/>
      <c r="C89" s="21"/>
      <c r="D89" s="21"/>
      <c r="E89" s="17" t="str">
        <f t="shared" si="2"/>
        <v/>
      </c>
      <c r="F89" s="21"/>
      <c r="G89" s="17" t="str">
        <f t="shared" si="3"/>
        <v/>
      </c>
      <c r="H89" s="10"/>
    </row>
    <row r="90" spans="1:8" x14ac:dyDescent="0.3">
      <c r="A90" s="10"/>
      <c r="B90" s="10"/>
      <c r="C90" s="21"/>
      <c r="D90" s="21"/>
      <c r="E90" s="17" t="str">
        <f t="shared" si="2"/>
        <v/>
      </c>
      <c r="F90" s="21"/>
      <c r="G90" s="17" t="str">
        <f t="shared" si="3"/>
        <v/>
      </c>
      <c r="H90" s="10"/>
    </row>
    <row r="91" spans="1:8" x14ac:dyDescent="0.3">
      <c r="A91" s="10"/>
      <c r="B91" s="10"/>
      <c r="C91" s="21"/>
      <c r="D91" s="21"/>
      <c r="E91" s="17" t="str">
        <f t="shared" si="2"/>
        <v/>
      </c>
      <c r="F91" s="21"/>
      <c r="G91" s="17" t="str">
        <f t="shared" si="3"/>
        <v/>
      </c>
      <c r="H91" s="10"/>
    </row>
    <row r="92" spans="1:8" x14ac:dyDescent="0.3">
      <c r="A92" s="10"/>
      <c r="B92" s="10"/>
      <c r="C92" s="21"/>
      <c r="D92" s="21"/>
      <c r="E92" s="17" t="str">
        <f t="shared" si="2"/>
        <v/>
      </c>
      <c r="F92" s="21"/>
      <c r="G92" s="17" t="str">
        <f t="shared" si="3"/>
        <v/>
      </c>
      <c r="H92" s="10"/>
    </row>
    <row r="93" spans="1:8" x14ac:dyDescent="0.3">
      <c r="A93" s="10"/>
      <c r="B93" s="10"/>
      <c r="C93" s="21"/>
      <c r="D93" s="21"/>
      <c r="E93" s="17" t="str">
        <f t="shared" si="2"/>
        <v/>
      </c>
      <c r="F93" s="21"/>
      <c r="G93" s="17" t="str">
        <f t="shared" si="3"/>
        <v/>
      </c>
      <c r="H93" s="10"/>
    </row>
    <row r="94" spans="1:8" x14ac:dyDescent="0.3">
      <c r="A94" s="10"/>
      <c r="B94" s="10"/>
      <c r="C94" s="21"/>
      <c r="D94" s="21"/>
      <c r="E94" s="17" t="str">
        <f t="shared" si="2"/>
        <v/>
      </c>
      <c r="F94" s="21"/>
      <c r="G94" s="17" t="str">
        <f t="shared" si="3"/>
        <v/>
      </c>
      <c r="H94" s="10"/>
    </row>
    <row r="95" spans="1:8" x14ac:dyDescent="0.3">
      <c r="A95" s="10"/>
      <c r="B95" s="10"/>
      <c r="C95" s="21"/>
      <c r="D95" s="21"/>
      <c r="E95" s="17" t="str">
        <f t="shared" si="2"/>
        <v/>
      </c>
      <c r="F95" s="21"/>
      <c r="G95" s="17" t="str">
        <f t="shared" si="3"/>
        <v/>
      </c>
      <c r="H95" s="10"/>
    </row>
    <row r="96" spans="1:8" x14ac:dyDescent="0.3">
      <c r="A96" s="10"/>
      <c r="B96" s="10"/>
      <c r="C96" s="21"/>
      <c r="D96" s="21"/>
      <c r="E96" s="17" t="str">
        <f t="shared" si="2"/>
        <v/>
      </c>
      <c r="F96" s="21"/>
      <c r="G96" s="17" t="str">
        <f t="shared" si="3"/>
        <v/>
      </c>
      <c r="H96" s="10"/>
    </row>
    <row r="97" spans="1:8" x14ac:dyDescent="0.3">
      <c r="A97" s="10"/>
      <c r="B97" s="10"/>
      <c r="C97" s="21"/>
      <c r="D97" s="21"/>
      <c r="E97" s="17" t="str">
        <f t="shared" si="2"/>
        <v/>
      </c>
      <c r="F97" s="21"/>
      <c r="G97" s="17" t="str">
        <f t="shared" si="3"/>
        <v/>
      </c>
      <c r="H97" s="10"/>
    </row>
    <row r="98" spans="1:8" x14ac:dyDescent="0.3">
      <c r="A98" s="10"/>
      <c r="B98" s="10"/>
      <c r="C98" s="21"/>
      <c r="D98" s="21"/>
      <c r="E98" s="17" t="str">
        <f t="shared" si="2"/>
        <v/>
      </c>
      <c r="F98" s="21"/>
      <c r="G98" s="17" t="str">
        <f t="shared" si="3"/>
        <v/>
      </c>
      <c r="H98" s="10"/>
    </row>
    <row r="99" spans="1:8" x14ac:dyDescent="0.3">
      <c r="A99" s="10"/>
      <c r="B99" s="10"/>
      <c r="C99" s="21"/>
      <c r="D99" s="21"/>
      <c r="E99" s="17" t="str">
        <f t="shared" si="2"/>
        <v/>
      </c>
      <c r="F99" s="21"/>
      <c r="G99" s="17" t="str">
        <f t="shared" si="3"/>
        <v/>
      </c>
      <c r="H99" s="10"/>
    </row>
    <row r="100" spans="1:8" x14ac:dyDescent="0.3">
      <c r="A100" s="10"/>
      <c r="B100" s="10"/>
      <c r="C100" s="21"/>
      <c r="D100" s="21"/>
      <c r="E100" s="17" t="str">
        <f t="shared" si="2"/>
        <v/>
      </c>
      <c r="F100" s="21"/>
      <c r="G100" s="17" t="str">
        <f t="shared" si="3"/>
        <v/>
      </c>
      <c r="H100" s="10"/>
    </row>
    <row r="101" spans="1:8" x14ac:dyDescent="0.3">
      <c r="A101" s="10"/>
      <c r="B101" s="10"/>
      <c r="C101" s="21"/>
      <c r="D101" s="21"/>
      <c r="E101" s="17" t="str">
        <f t="shared" si="2"/>
        <v/>
      </c>
      <c r="F101" s="21"/>
      <c r="G101" s="17" t="str">
        <f t="shared" si="3"/>
        <v/>
      </c>
      <c r="H101" s="10"/>
    </row>
    <row r="102" spans="1:8" x14ac:dyDescent="0.3">
      <c r="A102" s="10"/>
      <c r="B102" s="10"/>
      <c r="C102" s="21"/>
      <c r="D102" s="21"/>
      <c r="E102" s="17" t="str">
        <f t="shared" si="2"/>
        <v/>
      </c>
      <c r="F102" s="21"/>
      <c r="G102" s="17" t="str">
        <f t="shared" si="3"/>
        <v/>
      </c>
      <c r="H102" s="10"/>
    </row>
    <row r="103" spans="1:8" x14ac:dyDescent="0.3">
      <c r="A103" s="10"/>
      <c r="B103" s="10"/>
      <c r="C103" s="21"/>
      <c r="D103" s="21"/>
      <c r="E103" s="17" t="str">
        <f t="shared" si="2"/>
        <v/>
      </c>
      <c r="F103" s="21"/>
      <c r="G103" s="17" t="str">
        <f t="shared" si="3"/>
        <v/>
      </c>
      <c r="H103" s="10"/>
    </row>
    <row r="104" spans="1:8" x14ac:dyDescent="0.3">
      <c r="A104" s="10"/>
      <c r="B104" s="10"/>
      <c r="C104" s="21"/>
      <c r="D104" s="21"/>
      <c r="E104" s="17" t="str">
        <f t="shared" si="2"/>
        <v/>
      </c>
      <c r="F104" s="21"/>
      <c r="G104" s="17" t="str">
        <f t="shared" si="3"/>
        <v/>
      </c>
      <c r="H104" s="10"/>
    </row>
    <row r="105" spans="1:8" x14ac:dyDescent="0.3">
      <c r="A105" s="10"/>
      <c r="B105" s="10"/>
      <c r="C105" s="21"/>
      <c r="D105" s="21"/>
      <c r="E105" s="17" t="str">
        <f t="shared" si="2"/>
        <v/>
      </c>
      <c r="F105" s="21"/>
      <c r="G105" s="17" t="str">
        <f t="shared" si="3"/>
        <v/>
      </c>
      <c r="H105" s="10"/>
    </row>
    <row r="106" spans="1:8" x14ac:dyDescent="0.3">
      <c r="A106" s="10"/>
      <c r="B106" s="10"/>
      <c r="C106" s="21"/>
      <c r="D106" s="21"/>
      <c r="E106" s="17" t="str">
        <f t="shared" si="2"/>
        <v/>
      </c>
      <c r="F106" s="21"/>
      <c r="G106" s="17" t="str">
        <f t="shared" si="3"/>
        <v/>
      </c>
      <c r="H106" s="10"/>
    </row>
    <row r="107" spans="1:8" x14ac:dyDescent="0.3">
      <c r="A107" s="10"/>
      <c r="B107" s="10"/>
      <c r="C107" s="21"/>
      <c r="D107" s="21"/>
      <c r="E107" s="17" t="str">
        <f t="shared" si="2"/>
        <v/>
      </c>
      <c r="F107" s="21"/>
      <c r="G107" s="17" t="str">
        <f t="shared" si="3"/>
        <v/>
      </c>
      <c r="H107" s="10"/>
    </row>
    <row r="108" spans="1:8" x14ac:dyDescent="0.3">
      <c r="A108" s="10"/>
      <c r="B108" s="10"/>
      <c r="C108" s="21"/>
      <c r="D108" s="21"/>
      <c r="E108" s="17" t="str">
        <f t="shared" si="2"/>
        <v/>
      </c>
      <c r="F108" s="21"/>
      <c r="G108" s="17" t="str">
        <f t="shared" si="3"/>
        <v/>
      </c>
      <c r="H108" s="10"/>
    </row>
    <row r="109" spans="1:8" x14ac:dyDescent="0.3">
      <c r="A109" s="10"/>
      <c r="B109" s="10"/>
      <c r="C109" s="21"/>
      <c r="D109" s="21"/>
      <c r="E109" s="17" t="str">
        <f t="shared" si="2"/>
        <v/>
      </c>
      <c r="F109" s="21"/>
      <c r="G109" s="17" t="str">
        <f t="shared" si="3"/>
        <v/>
      </c>
      <c r="H109" s="10"/>
    </row>
    <row r="110" spans="1:8" x14ac:dyDescent="0.3">
      <c r="A110" s="10"/>
      <c r="B110" s="10"/>
      <c r="C110" s="21"/>
      <c r="D110" s="21"/>
      <c r="E110" s="17" t="str">
        <f t="shared" si="2"/>
        <v/>
      </c>
      <c r="F110" s="21"/>
      <c r="G110" s="17" t="str">
        <f t="shared" si="3"/>
        <v/>
      </c>
      <c r="H110" s="10"/>
    </row>
    <row r="111" spans="1:8" x14ac:dyDescent="0.3">
      <c r="A111" s="10"/>
      <c r="B111" s="10"/>
      <c r="C111" s="21"/>
      <c r="D111" s="21"/>
      <c r="E111" s="17" t="str">
        <f t="shared" si="2"/>
        <v/>
      </c>
      <c r="F111" s="21"/>
      <c r="G111" s="17" t="str">
        <f t="shared" si="3"/>
        <v/>
      </c>
      <c r="H111" s="10"/>
    </row>
    <row r="112" spans="1:8" x14ac:dyDescent="0.3">
      <c r="A112" s="10"/>
      <c r="B112" s="10"/>
      <c r="C112" s="21"/>
      <c r="D112" s="21"/>
      <c r="E112" s="17" t="str">
        <f t="shared" si="2"/>
        <v/>
      </c>
      <c r="F112" s="21"/>
      <c r="G112" s="17" t="str">
        <f t="shared" si="3"/>
        <v/>
      </c>
      <c r="H112" s="10"/>
    </row>
    <row r="113" spans="1:8" x14ac:dyDescent="0.3">
      <c r="A113" s="10"/>
      <c r="B113" s="10"/>
      <c r="C113" s="21"/>
      <c r="D113" s="21"/>
      <c r="E113" s="17" t="str">
        <f t="shared" si="2"/>
        <v/>
      </c>
      <c r="F113" s="21"/>
      <c r="G113" s="17" t="str">
        <f t="shared" si="3"/>
        <v/>
      </c>
      <c r="H113" s="10"/>
    </row>
    <row r="114" spans="1:8" x14ac:dyDescent="0.3">
      <c r="A114" s="10"/>
      <c r="B114" s="10"/>
      <c r="C114" s="21"/>
      <c r="D114" s="21"/>
      <c r="E114" s="17" t="str">
        <f t="shared" si="2"/>
        <v/>
      </c>
      <c r="F114" s="21"/>
      <c r="G114" s="17" t="str">
        <f t="shared" si="3"/>
        <v/>
      </c>
      <c r="H114" s="10"/>
    </row>
    <row r="115" spans="1:8" x14ac:dyDescent="0.3">
      <c r="A115" s="10"/>
      <c r="B115" s="10"/>
      <c r="C115" s="21"/>
      <c r="D115" s="21"/>
      <c r="E115" s="17" t="str">
        <f t="shared" si="2"/>
        <v/>
      </c>
      <c r="F115" s="21"/>
      <c r="G115" s="17" t="str">
        <f t="shared" si="3"/>
        <v/>
      </c>
      <c r="H115" s="10"/>
    </row>
    <row r="116" spans="1:8" x14ac:dyDescent="0.3">
      <c r="A116" s="10"/>
      <c r="B116" s="10"/>
      <c r="C116" s="21"/>
      <c r="D116" s="21"/>
      <c r="E116" s="17" t="str">
        <f t="shared" si="2"/>
        <v/>
      </c>
      <c r="F116" s="21"/>
      <c r="G116" s="17" t="str">
        <f t="shared" si="3"/>
        <v/>
      </c>
      <c r="H116" s="10"/>
    </row>
    <row r="117" spans="1:8" x14ac:dyDescent="0.3">
      <c r="A117" s="10"/>
      <c r="B117" s="10"/>
      <c r="C117" s="21"/>
      <c r="D117" s="21"/>
      <c r="E117" s="17" t="str">
        <f t="shared" si="2"/>
        <v/>
      </c>
      <c r="F117" s="21"/>
      <c r="G117" s="17" t="str">
        <f t="shared" si="3"/>
        <v/>
      </c>
      <c r="H117" s="10"/>
    </row>
    <row r="118" spans="1:8" x14ac:dyDescent="0.3">
      <c r="A118" s="10"/>
      <c r="B118" s="10"/>
      <c r="C118" s="21"/>
      <c r="D118" s="21"/>
      <c r="E118" s="17" t="str">
        <f t="shared" si="2"/>
        <v/>
      </c>
      <c r="F118" s="21"/>
      <c r="G118" s="17" t="str">
        <f t="shared" si="3"/>
        <v/>
      </c>
      <c r="H118" s="10"/>
    </row>
    <row r="119" spans="1:8" x14ac:dyDescent="0.3">
      <c r="A119" s="10"/>
      <c r="B119" s="10"/>
      <c r="C119" s="21"/>
      <c r="D119" s="21"/>
      <c r="E119" s="17" t="str">
        <f t="shared" si="2"/>
        <v/>
      </c>
      <c r="F119" s="21"/>
      <c r="G119" s="17" t="str">
        <f t="shared" si="3"/>
        <v/>
      </c>
      <c r="H119" s="10"/>
    </row>
    <row r="120" spans="1:8" x14ac:dyDescent="0.3">
      <c r="A120" s="10"/>
      <c r="B120" s="10"/>
      <c r="C120" s="21"/>
      <c r="D120" s="21"/>
      <c r="E120" s="17" t="str">
        <f t="shared" si="2"/>
        <v/>
      </c>
      <c r="F120" s="21"/>
      <c r="G120" s="17" t="str">
        <f t="shared" si="3"/>
        <v/>
      </c>
      <c r="H120" s="10"/>
    </row>
    <row r="121" spans="1:8" x14ac:dyDescent="0.3">
      <c r="A121" s="10"/>
      <c r="B121" s="10"/>
      <c r="C121" s="21"/>
      <c r="D121" s="21"/>
      <c r="E121" s="17" t="str">
        <f t="shared" si="2"/>
        <v/>
      </c>
      <c r="F121" s="21"/>
      <c r="G121" s="17" t="str">
        <f t="shared" si="3"/>
        <v/>
      </c>
      <c r="H121" s="10"/>
    </row>
    <row r="122" spans="1:8" x14ac:dyDescent="0.3">
      <c r="A122" s="10"/>
      <c r="B122" s="10"/>
      <c r="C122" s="21"/>
      <c r="D122" s="21"/>
      <c r="E122" s="17" t="str">
        <f t="shared" si="2"/>
        <v/>
      </c>
      <c r="F122" s="21"/>
      <c r="G122" s="17" t="str">
        <f t="shared" si="3"/>
        <v/>
      </c>
      <c r="H122" s="10"/>
    </row>
    <row r="123" spans="1:8" x14ac:dyDescent="0.3">
      <c r="A123" s="10"/>
      <c r="B123" s="10"/>
      <c r="C123" s="21"/>
      <c r="D123" s="21"/>
      <c r="E123" s="17" t="str">
        <f t="shared" si="2"/>
        <v/>
      </c>
      <c r="F123" s="21"/>
      <c r="G123" s="17" t="str">
        <f t="shared" si="3"/>
        <v/>
      </c>
      <c r="H123" s="10"/>
    </row>
    <row r="124" spans="1:8" x14ac:dyDescent="0.3">
      <c r="A124" s="10"/>
      <c r="B124" s="10"/>
      <c r="C124" s="21"/>
      <c r="D124" s="21"/>
      <c r="E124" s="17" t="str">
        <f t="shared" si="2"/>
        <v/>
      </c>
      <c r="F124" s="21"/>
      <c r="G124" s="17" t="str">
        <f t="shared" si="3"/>
        <v/>
      </c>
      <c r="H124" s="10"/>
    </row>
    <row r="125" spans="1:8" x14ac:dyDescent="0.3">
      <c r="A125" s="10"/>
      <c r="B125" s="10"/>
      <c r="C125" s="21"/>
      <c r="D125" s="21"/>
      <c r="E125" s="17" t="str">
        <f t="shared" si="2"/>
        <v/>
      </c>
      <c r="F125" s="21"/>
      <c r="G125" s="17" t="str">
        <f t="shared" si="3"/>
        <v/>
      </c>
      <c r="H125" s="10"/>
    </row>
    <row r="126" spans="1:8" x14ac:dyDescent="0.3">
      <c r="A126" s="10"/>
      <c r="B126" s="10"/>
      <c r="C126" s="21"/>
      <c r="D126" s="21"/>
      <c r="E126" s="17" t="str">
        <f t="shared" si="2"/>
        <v/>
      </c>
      <c r="F126" s="21"/>
      <c r="G126" s="17" t="str">
        <f t="shared" si="3"/>
        <v/>
      </c>
      <c r="H126" s="10"/>
    </row>
    <row r="127" spans="1:8" x14ac:dyDescent="0.3">
      <c r="A127" s="10"/>
      <c r="B127" s="10"/>
      <c r="C127" s="21"/>
      <c r="D127" s="21"/>
      <c r="E127" s="17" t="str">
        <f t="shared" si="2"/>
        <v/>
      </c>
      <c r="F127" s="21"/>
      <c r="G127" s="17" t="str">
        <f t="shared" si="3"/>
        <v/>
      </c>
      <c r="H127" s="10"/>
    </row>
    <row r="128" spans="1:8" x14ac:dyDescent="0.3">
      <c r="A128" s="10"/>
      <c r="B128" s="10"/>
      <c r="C128" s="21"/>
      <c r="D128" s="21"/>
      <c r="E128" s="17" t="str">
        <f t="shared" si="2"/>
        <v/>
      </c>
      <c r="F128" s="21"/>
      <c r="G128" s="17" t="str">
        <f t="shared" si="3"/>
        <v/>
      </c>
      <c r="H128" s="10"/>
    </row>
    <row r="129" spans="1:8" x14ac:dyDescent="0.3">
      <c r="A129" s="10"/>
      <c r="B129" s="10"/>
      <c r="C129" s="21"/>
      <c r="D129" s="21"/>
      <c r="E129" s="17" t="str">
        <f t="shared" si="2"/>
        <v/>
      </c>
      <c r="F129" s="21"/>
      <c r="G129" s="17" t="str">
        <f t="shared" si="3"/>
        <v/>
      </c>
      <c r="H129" s="10"/>
    </row>
    <row r="130" spans="1:8" x14ac:dyDescent="0.3">
      <c r="A130" s="10"/>
      <c r="B130" s="10"/>
      <c r="C130" s="21"/>
      <c r="D130" s="21"/>
      <c r="E130" s="17" t="str">
        <f t="shared" ref="E130:E193" si="4">IF($A130="","",$C130-$D130)</f>
        <v/>
      </c>
      <c r="F130" s="21"/>
      <c r="G130" s="17" t="str">
        <f t="shared" ref="G130:G193" si="5">IF($A130="","",IF($F130="","",IF($C130-$D130&lt;=$F130,"REORDER","OK")))</f>
        <v/>
      </c>
      <c r="H130" s="10"/>
    </row>
    <row r="131" spans="1:8" x14ac:dyDescent="0.3">
      <c r="A131" s="10"/>
      <c r="B131" s="10"/>
      <c r="C131" s="21"/>
      <c r="D131" s="21"/>
      <c r="E131" s="17" t="str">
        <f t="shared" si="4"/>
        <v/>
      </c>
      <c r="F131" s="21"/>
      <c r="G131" s="17" t="str">
        <f t="shared" si="5"/>
        <v/>
      </c>
      <c r="H131" s="10"/>
    </row>
    <row r="132" spans="1:8" x14ac:dyDescent="0.3">
      <c r="A132" s="10"/>
      <c r="B132" s="10"/>
      <c r="C132" s="21"/>
      <c r="D132" s="21"/>
      <c r="E132" s="17" t="str">
        <f t="shared" si="4"/>
        <v/>
      </c>
      <c r="F132" s="21"/>
      <c r="G132" s="17" t="str">
        <f t="shared" si="5"/>
        <v/>
      </c>
      <c r="H132" s="10"/>
    </row>
    <row r="133" spans="1:8" x14ac:dyDescent="0.3">
      <c r="A133" s="10"/>
      <c r="B133" s="10"/>
      <c r="C133" s="21"/>
      <c r="D133" s="21"/>
      <c r="E133" s="17" t="str">
        <f t="shared" si="4"/>
        <v/>
      </c>
      <c r="F133" s="21"/>
      <c r="G133" s="17" t="str">
        <f t="shared" si="5"/>
        <v/>
      </c>
      <c r="H133" s="10"/>
    </row>
    <row r="134" spans="1:8" x14ac:dyDescent="0.3">
      <c r="A134" s="10"/>
      <c r="B134" s="10"/>
      <c r="C134" s="21"/>
      <c r="D134" s="21"/>
      <c r="E134" s="17" t="str">
        <f t="shared" si="4"/>
        <v/>
      </c>
      <c r="F134" s="21"/>
      <c r="G134" s="17" t="str">
        <f t="shared" si="5"/>
        <v/>
      </c>
      <c r="H134" s="10"/>
    </row>
    <row r="135" spans="1:8" x14ac:dyDescent="0.3">
      <c r="A135" s="10"/>
      <c r="B135" s="10"/>
      <c r="C135" s="21"/>
      <c r="D135" s="21"/>
      <c r="E135" s="17" t="str">
        <f t="shared" si="4"/>
        <v/>
      </c>
      <c r="F135" s="21"/>
      <c r="G135" s="17" t="str">
        <f t="shared" si="5"/>
        <v/>
      </c>
      <c r="H135" s="10"/>
    </row>
    <row r="136" spans="1:8" x14ac:dyDescent="0.3">
      <c r="A136" s="10"/>
      <c r="B136" s="10"/>
      <c r="C136" s="21"/>
      <c r="D136" s="21"/>
      <c r="E136" s="17" t="str">
        <f t="shared" si="4"/>
        <v/>
      </c>
      <c r="F136" s="21"/>
      <c r="G136" s="17" t="str">
        <f t="shared" si="5"/>
        <v/>
      </c>
      <c r="H136" s="10"/>
    </row>
    <row r="137" spans="1:8" x14ac:dyDescent="0.3">
      <c r="A137" s="10"/>
      <c r="B137" s="10"/>
      <c r="C137" s="21"/>
      <c r="D137" s="21"/>
      <c r="E137" s="17" t="str">
        <f t="shared" si="4"/>
        <v/>
      </c>
      <c r="F137" s="21"/>
      <c r="G137" s="17" t="str">
        <f t="shared" si="5"/>
        <v/>
      </c>
      <c r="H137" s="10"/>
    </row>
    <row r="138" spans="1:8" x14ac:dyDescent="0.3">
      <c r="A138" s="10"/>
      <c r="B138" s="10"/>
      <c r="C138" s="21"/>
      <c r="D138" s="21"/>
      <c r="E138" s="17" t="str">
        <f t="shared" si="4"/>
        <v/>
      </c>
      <c r="F138" s="21"/>
      <c r="G138" s="17" t="str">
        <f t="shared" si="5"/>
        <v/>
      </c>
      <c r="H138" s="10"/>
    </row>
    <row r="139" spans="1:8" x14ac:dyDescent="0.3">
      <c r="A139" s="10"/>
      <c r="B139" s="10"/>
      <c r="C139" s="21"/>
      <c r="D139" s="21"/>
      <c r="E139" s="17" t="str">
        <f t="shared" si="4"/>
        <v/>
      </c>
      <c r="F139" s="21"/>
      <c r="G139" s="17" t="str">
        <f t="shared" si="5"/>
        <v/>
      </c>
      <c r="H139" s="10"/>
    </row>
    <row r="140" spans="1:8" x14ac:dyDescent="0.3">
      <c r="A140" s="10"/>
      <c r="B140" s="10"/>
      <c r="C140" s="21"/>
      <c r="D140" s="21"/>
      <c r="E140" s="17" t="str">
        <f t="shared" si="4"/>
        <v/>
      </c>
      <c r="F140" s="21"/>
      <c r="G140" s="17" t="str">
        <f t="shared" si="5"/>
        <v/>
      </c>
      <c r="H140" s="10"/>
    </row>
    <row r="141" spans="1:8" x14ac:dyDescent="0.3">
      <c r="A141" s="10"/>
      <c r="B141" s="10"/>
      <c r="C141" s="21"/>
      <c r="D141" s="21"/>
      <c r="E141" s="17" t="str">
        <f t="shared" si="4"/>
        <v/>
      </c>
      <c r="F141" s="21"/>
      <c r="G141" s="17" t="str">
        <f t="shared" si="5"/>
        <v/>
      </c>
      <c r="H141" s="10"/>
    </row>
    <row r="142" spans="1:8" x14ac:dyDescent="0.3">
      <c r="A142" s="10"/>
      <c r="B142" s="10"/>
      <c r="C142" s="21"/>
      <c r="D142" s="21"/>
      <c r="E142" s="17" t="str">
        <f t="shared" si="4"/>
        <v/>
      </c>
      <c r="F142" s="21"/>
      <c r="G142" s="17" t="str">
        <f t="shared" si="5"/>
        <v/>
      </c>
      <c r="H142" s="10"/>
    </row>
    <row r="143" spans="1:8" x14ac:dyDescent="0.3">
      <c r="A143" s="10"/>
      <c r="B143" s="10"/>
      <c r="C143" s="21"/>
      <c r="D143" s="21"/>
      <c r="E143" s="17" t="str">
        <f t="shared" si="4"/>
        <v/>
      </c>
      <c r="F143" s="21"/>
      <c r="G143" s="17" t="str">
        <f t="shared" si="5"/>
        <v/>
      </c>
      <c r="H143" s="10"/>
    </row>
    <row r="144" spans="1:8" x14ac:dyDescent="0.3">
      <c r="A144" s="10"/>
      <c r="B144" s="10"/>
      <c r="C144" s="21"/>
      <c r="D144" s="21"/>
      <c r="E144" s="17" t="str">
        <f t="shared" si="4"/>
        <v/>
      </c>
      <c r="F144" s="21"/>
      <c r="G144" s="17" t="str">
        <f t="shared" si="5"/>
        <v/>
      </c>
      <c r="H144" s="10"/>
    </row>
    <row r="145" spans="1:8" x14ac:dyDescent="0.3">
      <c r="A145" s="10"/>
      <c r="B145" s="10"/>
      <c r="C145" s="21"/>
      <c r="D145" s="21"/>
      <c r="E145" s="17" t="str">
        <f t="shared" si="4"/>
        <v/>
      </c>
      <c r="F145" s="21"/>
      <c r="G145" s="17" t="str">
        <f t="shared" si="5"/>
        <v/>
      </c>
      <c r="H145" s="10"/>
    </row>
    <row r="146" spans="1:8" x14ac:dyDescent="0.3">
      <c r="A146" s="10"/>
      <c r="B146" s="10"/>
      <c r="C146" s="21"/>
      <c r="D146" s="21"/>
      <c r="E146" s="17" t="str">
        <f t="shared" si="4"/>
        <v/>
      </c>
      <c r="F146" s="21"/>
      <c r="G146" s="17" t="str">
        <f t="shared" si="5"/>
        <v/>
      </c>
      <c r="H146" s="10"/>
    </row>
    <row r="147" spans="1:8" x14ac:dyDescent="0.3">
      <c r="A147" s="10"/>
      <c r="B147" s="10"/>
      <c r="C147" s="21"/>
      <c r="D147" s="21"/>
      <c r="E147" s="17" t="str">
        <f t="shared" si="4"/>
        <v/>
      </c>
      <c r="F147" s="21"/>
      <c r="G147" s="17" t="str">
        <f t="shared" si="5"/>
        <v/>
      </c>
      <c r="H147" s="10"/>
    </row>
    <row r="148" spans="1:8" x14ac:dyDescent="0.3">
      <c r="A148" s="10"/>
      <c r="B148" s="10"/>
      <c r="C148" s="21"/>
      <c r="D148" s="21"/>
      <c r="E148" s="17" t="str">
        <f t="shared" si="4"/>
        <v/>
      </c>
      <c r="F148" s="21"/>
      <c r="G148" s="17" t="str">
        <f t="shared" si="5"/>
        <v/>
      </c>
      <c r="H148" s="10"/>
    </row>
    <row r="149" spans="1:8" x14ac:dyDescent="0.3">
      <c r="A149" s="10"/>
      <c r="B149" s="10"/>
      <c r="C149" s="21"/>
      <c r="D149" s="21"/>
      <c r="E149" s="17" t="str">
        <f t="shared" si="4"/>
        <v/>
      </c>
      <c r="F149" s="21"/>
      <c r="G149" s="17" t="str">
        <f t="shared" si="5"/>
        <v/>
      </c>
      <c r="H149" s="10"/>
    </row>
    <row r="150" spans="1:8" x14ac:dyDescent="0.3">
      <c r="A150" s="10"/>
      <c r="B150" s="10"/>
      <c r="C150" s="21"/>
      <c r="D150" s="21"/>
      <c r="E150" s="17" t="str">
        <f t="shared" si="4"/>
        <v/>
      </c>
      <c r="F150" s="21"/>
      <c r="G150" s="17" t="str">
        <f t="shared" si="5"/>
        <v/>
      </c>
      <c r="H150" s="10"/>
    </row>
    <row r="151" spans="1:8" x14ac:dyDescent="0.3">
      <c r="A151" s="10"/>
      <c r="B151" s="10"/>
      <c r="C151" s="21"/>
      <c r="D151" s="21"/>
      <c r="E151" s="17" t="str">
        <f t="shared" si="4"/>
        <v/>
      </c>
      <c r="F151" s="21"/>
      <c r="G151" s="17" t="str">
        <f t="shared" si="5"/>
        <v/>
      </c>
      <c r="H151" s="10"/>
    </row>
    <row r="152" spans="1:8" x14ac:dyDescent="0.3">
      <c r="A152" s="10"/>
      <c r="B152" s="10"/>
      <c r="C152" s="21"/>
      <c r="D152" s="21"/>
      <c r="E152" s="17" t="str">
        <f t="shared" si="4"/>
        <v/>
      </c>
      <c r="F152" s="21"/>
      <c r="G152" s="17" t="str">
        <f t="shared" si="5"/>
        <v/>
      </c>
      <c r="H152" s="10"/>
    </row>
    <row r="153" spans="1:8" x14ac:dyDescent="0.3">
      <c r="A153" s="10"/>
      <c r="B153" s="10"/>
      <c r="C153" s="21"/>
      <c r="D153" s="21"/>
      <c r="E153" s="17" t="str">
        <f t="shared" si="4"/>
        <v/>
      </c>
      <c r="F153" s="21"/>
      <c r="G153" s="17" t="str">
        <f t="shared" si="5"/>
        <v/>
      </c>
      <c r="H153" s="10"/>
    </row>
    <row r="154" spans="1:8" x14ac:dyDescent="0.3">
      <c r="A154" s="10"/>
      <c r="B154" s="10"/>
      <c r="C154" s="21"/>
      <c r="D154" s="21"/>
      <c r="E154" s="17" t="str">
        <f t="shared" si="4"/>
        <v/>
      </c>
      <c r="F154" s="21"/>
      <c r="G154" s="17" t="str">
        <f t="shared" si="5"/>
        <v/>
      </c>
      <c r="H154" s="10"/>
    </row>
    <row r="155" spans="1:8" x14ac:dyDescent="0.3">
      <c r="A155" s="10"/>
      <c r="B155" s="10"/>
      <c r="C155" s="21"/>
      <c r="D155" s="21"/>
      <c r="E155" s="17" t="str">
        <f t="shared" si="4"/>
        <v/>
      </c>
      <c r="F155" s="21"/>
      <c r="G155" s="17" t="str">
        <f t="shared" si="5"/>
        <v/>
      </c>
      <c r="H155" s="10"/>
    </row>
    <row r="156" spans="1:8" x14ac:dyDescent="0.3">
      <c r="A156" s="10"/>
      <c r="B156" s="10"/>
      <c r="C156" s="21"/>
      <c r="D156" s="21"/>
      <c r="E156" s="17" t="str">
        <f t="shared" si="4"/>
        <v/>
      </c>
      <c r="F156" s="21"/>
      <c r="G156" s="17" t="str">
        <f t="shared" si="5"/>
        <v/>
      </c>
      <c r="H156" s="10"/>
    </row>
    <row r="157" spans="1:8" x14ac:dyDescent="0.3">
      <c r="A157" s="10"/>
      <c r="B157" s="10"/>
      <c r="C157" s="21"/>
      <c r="D157" s="21"/>
      <c r="E157" s="17" t="str">
        <f t="shared" si="4"/>
        <v/>
      </c>
      <c r="F157" s="21"/>
      <c r="G157" s="17" t="str">
        <f t="shared" si="5"/>
        <v/>
      </c>
      <c r="H157" s="10"/>
    </row>
    <row r="158" spans="1:8" x14ac:dyDescent="0.3">
      <c r="A158" s="10"/>
      <c r="B158" s="10"/>
      <c r="C158" s="21"/>
      <c r="D158" s="21"/>
      <c r="E158" s="17" t="str">
        <f t="shared" si="4"/>
        <v/>
      </c>
      <c r="F158" s="21"/>
      <c r="G158" s="17" t="str">
        <f t="shared" si="5"/>
        <v/>
      </c>
      <c r="H158" s="10"/>
    </row>
    <row r="159" spans="1:8" x14ac:dyDescent="0.3">
      <c r="A159" s="10"/>
      <c r="B159" s="10"/>
      <c r="C159" s="21"/>
      <c r="D159" s="21"/>
      <c r="E159" s="17" t="str">
        <f t="shared" si="4"/>
        <v/>
      </c>
      <c r="F159" s="21"/>
      <c r="G159" s="17" t="str">
        <f t="shared" si="5"/>
        <v/>
      </c>
      <c r="H159" s="10"/>
    </row>
    <row r="160" spans="1:8" x14ac:dyDescent="0.3">
      <c r="A160" s="10"/>
      <c r="B160" s="10"/>
      <c r="C160" s="21"/>
      <c r="D160" s="21"/>
      <c r="E160" s="17" t="str">
        <f t="shared" si="4"/>
        <v/>
      </c>
      <c r="F160" s="21"/>
      <c r="G160" s="17" t="str">
        <f t="shared" si="5"/>
        <v/>
      </c>
      <c r="H160" s="10"/>
    </row>
    <row r="161" spans="1:8" x14ac:dyDescent="0.3">
      <c r="A161" s="10"/>
      <c r="B161" s="10"/>
      <c r="C161" s="21"/>
      <c r="D161" s="21"/>
      <c r="E161" s="17" t="str">
        <f t="shared" si="4"/>
        <v/>
      </c>
      <c r="F161" s="21"/>
      <c r="G161" s="17" t="str">
        <f t="shared" si="5"/>
        <v/>
      </c>
      <c r="H161" s="10"/>
    </row>
    <row r="162" spans="1:8" x14ac:dyDescent="0.3">
      <c r="A162" s="10"/>
      <c r="B162" s="10"/>
      <c r="C162" s="21"/>
      <c r="D162" s="21"/>
      <c r="E162" s="17" t="str">
        <f t="shared" si="4"/>
        <v/>
      </c>
      <c r="F162" s="21"/>
      <c r="G162" s="17" t="str">
        <f t="shared" si="5"/>
        <v/>
      </c>
      <c r="H162" s="10"/>
    </row>
    <row r="163" spans="1:8" x14ac:dyDescent="0.3">
      <c r="A163" s="10"/>
      <c r="B163" s="10"/>
      <c r="C163" s="21"/>
      <c r="D163" s="21"/>
      <c r="E163" s="17" t="str">
        <f t="shared" si="4"/>
        <v/>
      </c>
      <c r="F163" s="21"/>
      <c r="G163" s="17" t="str">
        <f t="shared" si="5"/>
        <v/>
      </c>
      <c r="H163" s="10"/>
    </row>
    <row r="164" spans="1:8" x14ac:dyDescent="0.3">
      <c r="A164" s="10"/>
      <c r="B164" s="10"/>
      <c r="C164" s="21"/>
      <c r="D164" s="21"/>
      <c r="E164" s="17" t="str">
        <f t="shared" si="4"/>
        <v/>
      </c>
      <c r="F164" s="21"/>
      <c r="G164" s="17" t="str">
        <f t="shared" si="5"/>
        <v/>
      </c>
      <c r="H164" s="10"/>
    </row>
    <row r="165" spans="1:8" x14ac:dyDescent="0.3">
      <c r="A165" s="10"/>
      <c r="B165" s="10"/>
      <c r="C165" s="21"/>
      <c r="D165" s="21"/>
      <c r="E165" s="17" t="str">
        <f t="shared" si="4"/>
        <v/>
      </c>
      <c r="F165" s="21"/>
      <c r="G165" s="17" t="str">
        <f t="shared" si="5"/>
        <v/>
      </c>
      <c r="H165" s="10"/>
    </row>
    <row r="166" spans="1:8" x14ac:dyDescent="0.3">
      <c r="A166" s="10"/>
      <c r="B166" s="10"/>
      <c r="C166" s="21"/>
      <c r="D166" s="21"/>
      <c r="E166" s="17" t="str">
        <f t="shared" si="4"/>
        <v/>
      </c>
      <c r="F166" s="21"/>
      <c r="G166" s="17" t="str">
        <f t="shared" si="5"/>
        <v/>
      </c>
      <c r="H166" s="10"/>
    </row>
    <row r="167" spans="1:8" x14ac:dyDescent="0.3">
      <c r="A167" s="10"/>
      <c r="B167" s="10"/>
      <c r="C167" s="21"/>
      <c r="D167" s="21"/>
      <c r="E167" s="17" t="str">
        <f t="shared" si="4"/>
        <v/>
      </c>
      <c r="F167" s="21"/>
      <c r="G167" s="17" t="str">
        <f t="shared" si="5"/>
        <v/>
      </c>
      <c r="H167" s="10"/>
    </row>
    <row r="168" spans="1:8" x14ac:dyDescent="0.3">
      <c r="A168" s="10"/>
      <c r="B168" s="10"/>
      <c r="C168" s="21"/>
      <c r="D168" s="21"/>
      <c r="E168" s="17" t="str">
        <f t="shared" si="4"/>
        <v/>
      </c>
      <c r="F168" s="21"/>
      <c r="G168" s="17" t="str">
        <f t="shared" si="5"/>
        <v/>
      </c>
      <c r="H168" s="10"/>
    </row>
    <row r="169" spans="1:8" x14ac:dyDescent="0.3">
      <c r="A169" s="10"/>
      <c r="B169" s="10"/>
      <c r="C169" s="21"/>
      <c r="D169" s="21"/>
      <c r="E169" s="17" t="str">
        <f t="shared" si="4"/>
        <v/>
      </c>
      <c r="F169" s="21"/>
      <c r="G169" s="17" t="str">
        <f t="shared" si="5"/>
        <v/>
      </c>
      <c r="H169" s="10"/>
    </row>
    <row r="170" spans="1:8" x14ac:dyDescent="0.3">
      <c r="A170" s="10"/>
      <c r="B170" s="10"/>
      <c r="C170" s="21"/>
      <c r="D170" s="21"/>
      <c r="E170" s="17" t="str">
        <f t="shared" si="4"/>
        <v/>
      </c>
      <c r="F170" s="21"/>
      <c r="G170" s="17" t="str">
        <f t="shared" si="5"/>
        <v/>
      </c>
      <c r="H170" s="10"/>
    </row>
    <row r="171" spans="1:8" x14ac:dyDescent="0.3">
      <c r="A171" s="10"/>
      <c r="B171" s="10"/>
      <c r="C171" s="21"/>
      <c r="D171" s="21"/>
      <c r="E171" s="17" t="str">
        <f t="shared" si="4"/>
        <v/>
      </c>
      <c r="F171" s="21"/>
      <c r="G171" s="17" t="str">
        <f t="shared" si="5"/>
        <v/>
      </c>
      <c r="H171" s="10"/>
    </row>
    <row r="172" spans="1:8" x14ac:dyDescent="0.3">
      <c r="A172" s="10"/>
      <c r="B172" s="10"/>
      <c r="C172" s="21"/>
      <c r="D172" s="21"/>
      <c r="E172" s="17" t="str">
        <f t="shared" si="4"/>
        <v/>
      </c>
      <c r="F172" s="21"/>
      <c r="G172" s="17" t="str">
        <f t="shared" si="5"/>
        <v/>
      </c>
      <c r="H172" s="10"/>
    </row>
    <row r="173" spans="1:8" x14ac:dyDescent="0.3">
      <c r="A173" s="10"/>
      <c r="B173" s="10"/>
      <c r="C173" s="21"/>
      <c r="D173" s="21"/>
      <c r="E173" s="17" t="str">
        <f t="shared" si="4"/>
        <v/>
      </c>
      <c r="F173" s="21"/>
      <c r="G173" s="17" t="str">
        <f t="shared" si="5"/>
        <v/>
      </c>
      <c r="H173" s="10"/>
    </row>
    <row r="174" spans="1:8" x14ac:dyDescent="0.3">
      <c r="A174" s="10"/>
      <c r="B174" s="10"/>
      <c r="C174" s="21"/>
      <c r="D174" s="21"/>
      <c r="E174" s="17" t="str">
        <f t="shared" si="4"/>
        <v/>
      </c>
      <c r="F174" s="21"/>
      <c r="G174" s="17" t="str">
        <f t="shared" si="5"/>
        <v/>
      </c>
      <c r="H174" s="10"/>
    </row>
    <row r="175" spans="1:8" x14ac:dyDescent="0.3">
      <c r="A175" s="10"/>
      <c r="B175" s="10"/>
      <c r="C175" s="21"/>
      <c r="D175" s="21"/>
      <c r="E175" s="17" t="str">
        <f t="shared" si="4"/>
        <v/>
      </c>
      <c r="F175" s="21"/>
      <c r="G175" s="17" t="str">
        <f t="shared" si="5"/>
        <v/>
      </c>
      <c r="H175" s="10"/>
    </row>
    <row r="176" spans="1:8" x14ac:dyDescent="0.3">
      <c r="A176" s="10"/>
      <c r="B176" s="10"/>
      <c r="C176" s="21"/>
      <c r="D176" s="21"/>
      <c r="E176" s="17" t="str">
        <f t="shared" si="4"/>
        <v/>
      </c>
      <c r="F176" s="21"/>
      <c r="G176" s="17" t="str">
        <f t="shared" si="5"/>
        <v/>
      </c>
      <c r="H176" s="10"/>
    </row>
    <row r="177" spans="1:8" x14ac:dyDescent="0.3">
      <c r="A177" s="10"/>
      <c r="B177" s="10"/>
      <c r="C177" s="21"/>
      <c r="D177" s="21"/>
      <c r="E177" s="17" t="str">
        <f t="shared" si="4"/>
        <v/>
      </c>
      <c r="F177" s="21"/>
      <c r="G177" s="17" t="str">
        <f t="shared" si="5"/>
        <v/>
      </c>
      <c r="H177" s="10"/>
    </row>
    <row r="178" spans="1:8" x14ac:dyDescent="0.3">
      <c r="A178" s="10"/>
      <c r="B178" s="10"/>
      <c r="C178" s="21"/>
      <c r="D178" s="21"/>
      <c r="E178" s="17" t="str">
        <f t="shared" si="4"/>
        <v/>
      </c>
      <c r="F178" s="21"/>
      <c r="G178" s="17" t="str">
        <f t="shared" si="5"/>
        <v/>
      </c>
      <c r="H178" s="10"/>
    </row>
    <row r="179" spans="1:8" x14ac:dyDescent="0.3">
      <c r="A179" s="10"/>
      <c r="B179" s="10"/>
      <c r="C179" s="21"/>
      <c r="D179" s="21"/>
      <c r="E179" s="17" t="str">
        <f t="shared" si="4"/>
        <v/>
      </c>
      <c r="F179" s="21"/>
      <c r="G179" s="17" t="str">
        <f t="shared" si="5"/>
        <v/>
      </c>
      <c r="H179" s="10"/>
    </row>
    <row r="180" spans="1:8" x14ac:dyDescent="0.3">
      <c r="A180" s="10"/>
      <c r="B180" s="10"/>
      <c r="C180" s="21"/>
      <c r="D180" s="21"/>
      <c r="E180" s="17" t="str">
        <f t="shared" si="4"/>
        <v/>
      </c>
      <c r="F180" s="21"/>
      <c r="G180" s="17" t="str">
        <f t="shared" si="5"/>
        <v/>
      </c>
      <c r="H180" s="10"/>
    </row>
    <row r="181" spans="1:8" x14ac:dyDescent="0.3">
      <c r="A181" s="10"/>
      <c r="B181" s="10"/>
      <c r="C181" s="21"/>
      <c r="D181" s="21"/>
      <c r="E181" s="17" t="str">
        <f t="shared" si="4"/>
        <v/>
      </c>
      <c r="F181" s="21"/>
      <c r="G181" s="17" t="str">
        <f t="shared" si="5"/>
        <v/>
      </c>
      <c r="H181" s="10"/>
    </row>
    <row r="182" spans="1:8" x14ac:dyDescent="0.3">
      <c r="A182" s="10"/>
      <c r="B182" s="10"/>
      <c r="C182" s="21"/>
      <c r="D182" s="21"/>
      <c r="E182" s="17" t="str">
        <f t="shared" si="4"/>
        <v/>
      </c>
      <c r="F182" s="21"/>
      <c r="G182" s="17" t="str">
        <f t="shared" si="5"/>
        <v/>
      </c>
      <c r="H182" s="10"/>
    </row>
    <row r="183" spans="1:8" x14ac:dyDescent="0.3">
      <c r="A183" s="10"/>
      <c r="B183" s="10"/>
      <c r="C183" s="21"/>
      <c r="D183" s="21"/>
      <c r="E183" s="17" t="str">
        <f t="shared" si="4"/>
        <v/>
      </c>
      <c r="F183" s="21"/>
      <c r="G183" s="17" t="str">
        <f t="shared" si="5"/>
        <v/>
      </c>
      <c r="H183" s="10"/>
    </row>
    <row r="184" spans="1:8" x14ac:dyDescent="0.3">
      <c r="A184" s="10"/>
      <c r="B184" s="10"/>
      <c r="C184" s="21"/>
      <c r="D184" s="21"/>
      <c r="E184" s="17" t="str">
        <f t="shared" si="4"/>
        <v/>
      </c>
      <c r="F184" s="21"/>
      <c r="G184" s="17" t="str">
        <f t="shared" si="5"/>
        <v/>
      </c>
      <c r="H184" s="10"/>
    </row>
    <row r="185" spans="1:8" x14ac:dyDescent="0.3">
      <c r="A185" s="10"/>
      <c r="B185" s="10"/>
      <c r="C185" s="21"/>
      <c r="D185" s="21"/>
      <c r="E185" s="17" t="str">
        <f t="shared" si="4"/>
        <v/>
      </c>
      <c r="F185" s="21"/>
      <c r="G185" s="17" t="str">
        <f t="shared" si="5"/>
        <v/>
      </c>
      <c r="H185" s="10"/>
    </row>
    <row r="186" spans="1:8" x14ac:dyDescent="0.3">
      <c r="A186" s="10"/>
      <c r="B186" s="10"/>
      <c r="C186" s="21"/>
      <c r="D186" s="21"/>
      <c r="E186" s="17" t="str">
        <f t="shared" si="4"/>
        <v/>
      </c>
      <c r="F186" s="21"/>
      <c r="G186" s="17" t="str">
        <f t="shared" si="5"/>
        <v/>
      </c>
      <c r="H186" s="10"/>
    </row>
    <row r="187" spans="1:8" x14ac:dyDescent="0.3">
      <c r="A187" s="10"/>
      <c r="B187" s="10"/>
      <c r="C187" s="21"/>
      <c r="D187" s="21"/>
      <c r="E187" s="17" t="str">
        <f t="shared" si="4"/>
        <v/>
      </c>
      <c r="F187" s="21"/>
      <c r="G187" s="17" t="str">
        <f t="shared" si="5"/>
        <v/>
      </c>
      <c r="H187" s="10"/>
    </row>
    <row r="188" spans="1:8" x14ac:dyDescent="0.3">
      <c r="A188" s="10"/>
      <c r="B188" s="10"/>
      <c r="C188" s="21"/>
      <c r="D188" s="21"/>
      <c r="E188" s="17" t="str">
        <f t="shared" si="4"/>
        <v/>
      </c>
      <c r="F188" s="21"/>
      <c r="G188" s="17" t="str">
        <f t="shared" si="5"/>
        <v/>
      </c>
      <c r="H188" s="10"/>
    </row>
    <row r="189" spans="1:8" x14ac:dyDescent="0.3">
      <c r="A189" s="10"/>
      <c r="B189" s="10"/>
      <c r="C189" s="21"/>
      <c r="D189" s="21"/>
      <c r="E189" s="17" t="str">
        <f t="shared" si="4"/>
        <v/>
      </c>
      <c r="F189" s="21"/>
      <c r="G189" s="17" t="str">
        <f t="shared" si="5"/>
        <v/>
      </c>
      <c r="H189" s="10"/>
    </row>
    <row r="190" spans="1:8" x14ac:dyDescent="0.3">
      <c r="A190" s="10"/>
      <c r="B190" s="10"/>
      <c r="C190" s="21"/>
      <c r="D190" s="21"/>
      <c r="E190" s="17" t="str">
        <f t="shared" si="4"/>
        <v/>
      </c>
      <c r="F190" s="21"/>
      <c r="G190" s="17" t="str">
        <f t="shared" si="5"/>
        <v/>
      </c>
      <c r="H190" s="10"/>
    </row>
    <row r="191" spans="1:8" x14ac:dyDescent="0.3">
      <c r="A191" s="10"/>
      <c r="B191" s="10"/>
      <c r="C191" s="21"/>
      <c r="D191" s="21"/>
      <c r="E191" s="17" t="str">
        <f t="shared" si="4"/>
        <v/>
      </c>
      <c r="F191" s="21"/>
      <c r="G191" s="17" t="str">
        <f t="shared" si="5"/>
        <v/>
      </c>
      <c r="H191" s="10"/>
    </row>
    <row r="192" spans="1:8" x14ac:dyDescent="0.3">
      <c r="A192" s="10"/>
      <c r="B192" s="10"/>
      <c r="C192" s="21"/>
      <c r="D192" s="21"/>
      <c r="E192" s="17" t="str">
        <f t="shared" si="4"/>
        <v/>
      </c>
      <c r="F192" s="21"/>
      <c r="G192" s="17" t="str">
        <f t="shared" si="5"/>
        <v/>
      </c>
      <c r="H192" s="10"/>
    </row>
    <row r="193" spans="1:8" x14ac:dyDescent="0.3">
      <c r="A193" s="10"/>
      <c r="B193" s="10"/>
      <c r="C193" s="21"/>
      <c r="D193" s="21"/>
      <c r="E193" s="17" t="str">
        <f t="shared" si="4"/>
        <v/>
      </c>
      <c r="F193" s="21"/>
      <c r="G193" s="17" t="str">
        <f t="shared" si="5"/>
        <v/>
      </c>
      <c r="H193" s="10"/>
    </row>
    <row r="194" spans="1:8" x14ac:dyDescent="0.3">
      <c r="A194" s="10"/>
      <c r="B194" s="10"/>
      <c r="C194" s="21"/>
      <c r="D194" s="21"/>
      <c r="E194" s="17" t="str">
        <f t="shared" ref="E194:E257" si="6">IF($A194="","",$C194-$D194)</f>
        <v/>
      </c>
      <c r="F194" s="21"/>
      <c r="G194" s="17" t="str">
        <f t="shared" ref="G194:G257" si="7">IF($A194="","",IF($F194="","",IF($C194-$D194&lt;=$F194,"REORDER","OK")))</f>
        <v/>
      </c>
      <c r="H194" s="10"/>
    </row>
    <row r="195" spans="1:8" x14ac:dyDescent="0.3">
      <c r="A195" s="10"/>
      <c r="B195" s="10"/>
      <c r="C195" s="21"/>
      <c r="D195" s="21"/>
      <c r="E195" s="17" t="str">
        <f t="shared" si="6"/>
        <v/>
      </c>
      <c r="F195" s="21"/>
      <c r="G195" s="17" t="str">
        <f t="shared" si="7"/>
        <v/>
      </c>
      <c r="H195" s="10"/>
    </row>
    <row r="196" spans="1:8" x14ac:dyDescent="0.3">
      <c r="A196" s="10"/>
      <c r="B196" s="10"/>
      <c r="C196" s="21"/>
      <c r="D196" s="21"/>
      <c r="E196" s="17" t="str">
        <f t="shared" si="6"/>
        <v/>
      </c>
      <c r="F196" s="21"/>
      <c r="G196" s="17" t="str">
        <f t="shared" si="7"/>
        <v/>
      </c>
      <c r="H196" s="10"/>
    </row>
    <row r="197" spans="1:8" x14ac:dyDescent="0.3">
      <c r="A197" s="10"/>
      <c r="B197" s="10"/>
      <c r="C197" s="21"/>
      <c r="D197" s="21"/>
      <c r="E197" s="17" t="str">
        <f t="shared" si="6"/>
        <v/>
      </c>
      <c r="F197" s="21"/>
      <c r="G197" s="17" t="str">
        <f t="shared" si="7"/>
        <v/>
      </c>
      <c r="H197" s="10"/>
    </row>
    <row r="198" spans="1:8" x14ac:dyDescent="0.3">
      <c r="A198" s="10"/>
      <c r="B198" s="10"/>
      <c r="C198" s="21"/>
      <c r="D198" s="21"/>
      <c r="E198" s="17" t="str">
        <f t="shared" si="6"/>
        <v/>
      </c>
      <c r="F198" s="21"/>
      <c r="G198" s="17" t="str">
        <f t="shared" si="7"/>
        <v/>
      </c>
      <c r="H198" s="10"/>
    </row>
    <row r="199" spans="1:8" x14ac:dyDescent="0.3">
      <c r="A199" s="10"/>
      <c r="B199" s="10"/>
      <c r="C199" s="21"/>
      <c r="D199" s="21"/>
      <c r="E199" s="17" t="str">
        <f t="shared" si="6"/>
        <v/>
      </c>
      <c r="F199" s="21"/>
      <c r="G199" s="17" t="str">
        <f t="shared" si="7"/>
        <v/>
      </c>
      <c r="H199" s="10"/>
    </row>
    <row r="200" spans="1:8" x14ac:dyDescent="0.3">
      <c r="A200" s="10"/>
      <c r="B200" s="10"/>
      <c r="C200" s="21"/>
      <c r="D200" s="21"/>
      <c r="E200" s="17" t="str">
        <f t="shared" si="6"/>
        <v/>
      </c>
      <c r="F200" s="21"/>
      <c r="G200" s="17" t="str">
        <f t="shared" si="7"/>
        <v/>
      </c>
      <c r="H200" s="10"/>
    </row>
    <row r="201" spans="1:8" x14ac:dyDescent="0.3">
      <c r="A201" s="10"/>
      <c r="B201" s="10"/>
      <c r="C201" s="21"/>
      <c r="D201" s="21"/>
      <c r="E201" s="17" t="str">
        <f t="shared" si="6"/>
        <v/>
      </c>
      <c r="F201" s="21"/>
      <c r="G201" s="17" t="str">
        <f t="shared" si="7"/>
        <v/>
      </c>
      <c r="H201" s="10"/>
    </row>
    <row r="202" spans="1:8" x14ac:dyDescent="0.3">
      <c r="A202" s="10"/>
      <c r="B202" s="10"/>
      <c r="C202" s="21"/>
      <c r="D202" s="21"/>
      <c r="E202" s="17" t="str">
        <f t="shared" si="6"/>
        <v/>
      </c>
      <c r="F202" s="21"/>
      <c r="G202" s="17" t="str">
        <f t="shared" si="7"/>
        <v/>
      </c>
      <c r="H202" s="10"/>
    </row>
    <row r="203" spans="1:8" x14ac:dyDescent="0.3">
      <c r="A203" s="10"/>
      <c r="B203" s="10"/>
      <c r="C203" s="21"/>
      <c r="D203" s="21"/>
      <c r="E203" s="17" t="str">
        <f t="shared" si="6"/>
        <v/>
      </c>
      <c r="F203" s="21"/>
      <c r="G203" s="17" t="str">
        <f t="shared" si="7"/>
        <v/>
      </c>
      <c r="H203" s="10"/>
    </row>
    <row r="204" spans="1:8" x14ac:dyDescent="0.3">
      <c r="A204" s="10"/>
      <c r="B204" s="10"/>
      <c r="C204" s="21"/>
      <c r="D204" s="21"/>
      <c r="E204" s="17" t="str">
        <f t="shared" si="6"/>
        <v/>
      </c>
      <c r="F204" s="21"/>
      <c r="G204" s="17" t="str">
        <f t="shared" si="7"/>
        <v/>
      </c>
      <c r="H204" s="10"/>
    </row>
    <row r="205" spans="1:8" x14ac:dyDescent="0.3">
      <c r="A205" s="10"/>
      <c r="B205" s="10"/>
      <c r="C205" s="21"/>
      <c r="D205" s="21"/>
      <c r="E205" s="17" t="str">
        <f t="shared" si="6"/>
        <v/>
      </c>
      <c r="F205" s="21"/>
      <c r="G205" s="17" t="str">
        <f t="shared" si="7"/>
        <v/>
      </c>
      <c r="H205" s="10"/>
    </row>
    <row r="206" spans="1:8" x14ac:dyDescent="0.3">
      <c r="A206" s="10"/>
      <c r="B206" s="10"/>
      <c r="C206" s="21"/>
      <c r="D206" s="21"/>
      <c r="E206" s="17" t="str">
        <f t="shared" si="6"/>
        <v/>
      </c>
      <c r="F206" s="21"/>
      <c r="G206" s="17" t="str">
        <f t="shared" si="7"/>
        <v/>
      </c>
      <c r="H206" s="10"/>
    </row>
    <row r="207" spans="1:8" x14ac:dyDescent="0.3">
      <c r="A207" s="10"/>
      <c r="B207" s="10"/>
      <c r="C207" s="21"/>
      <c r="D207" s="21"/>
      <c r="E207" s="17" t="str">
        <f t="shared" si="6"/>
        <v/>
      </c>
      <c r="F207" s="21"/>
      <c r="G207" s="17" t="str">
        <f t="shared" si="7"/>
        <v/>
      </c>
      <c r="H207" s="10"/>
    </row>
    <row r="208" spans="1:8" x14ac:dyDescent="0.3">
      <c r="A208" s="10"/>
      <c r="B208" s="10"/>
      <c r="C208" s="21"/>
      <c r="D208" s="21"/>
      <c r="E208" s="17" t="str">
        <f t="shared" si="6"/>
        <v/>
      </c>
      <c r="F208" s="21"/>
      <c r="G208" s="17" t="str">
        <f t="shared" si="7"/>
        <v/>
      </c>
      <c r="H208" s="10"/>
    </row>
    <row r="209" spans="1:8" x14ac:dyDescent="0.3">
      <c r="A209" s="10"/>
      <c r="B209" s="10"/>
      <c r="C209" s="21"/>
      <c r="D209" s="21"/>
      <c r="E209" s="17" t="str">
        <f t="shared" si="6"/>
        <v/>
      </c>
      <c r="F209" s="21"/>
      <c r="G209" s="17" t="str">
        <f t="shared" si="7"/>
        <v/>
      </c>
      <c r="H209" s="10"/>
    </row>
    <row r="210" spans="1:8" x14ac:dyDescent="0.3">
      <c r="A210" s="10"/>
      <c r="B210" s="10"/>
      <c r="C210" s="21"/>
      <c r="D210" s="21"/>
      <c r="E210" s="17" t="str">
        <f t="shared" si="6"/>
        <v/>
      </c>
      <c r="F210" s="21"/>
      <c r="G210" s="17" t="str">
        <f t="shared" si="7"/>
        <v/>
      </c>
      <c r="H210" s="10"/>
    </row>
    <row r="211" spans="1:8" x14ac:dyDescent="0.3">
      <c r="A211" s="10"/>
      <c r="B211" s="10"/>
      <c r="C211" s="21"/>
      <c r="D211" s="21"/>
      <c r="E211" s="17" t="str">
        <f t="shared" si="6"/>
        <v/>
      </c>
      <c r="F211" s="21"/>
      <c r="G211" s="17" t="str">
        <f t="shared" si="7"/>
        <v/>
      </c>
      <c r="H211" s="10"/>
    </row>
    <row r="212" spans="1:8" x14ac:dyDescent="0.3">
      <c r="A212" s="10"/>
      <c r="B212" s="10"/>
      <c r="C212" s="21"/>
      <c r="D212" s="21"/>
      <c r="E212" s="17" t="str">
        <f t="shared" si="6"/>
        <v/>
      </c>
      <c r="F212" s="21"/>
      <c r="G212" s="17" t="str">
        <f t="shared" si="7"/>
        <v/>
      </c>
      <c r="H212" s="10"/>
    </row>
    <row r="213" spans="1:8" x14ac:dyDescent="0.3">
      <c r="A213" s="10"/>
      <c r="B213" s="10"/>
      <c r="C213" s="21"/>
      <c r="D213" s="21"/>
      <c r="E213" s="17" t="str">
        <f t="shared" si="6"/>
        <v/>
      </c>
      <c r="F213" s="21"/>
      <c r="G213" s="17" t="str">
        <f t="shared" si="7"/>
        <v/>
      </c>
      <c r="H213" s="10"/>
    </row>
    <row r="214" spans="1:8" x14ac:dyDescent="0.3">
      <c r="A214" s="10"/>
      <c r="B214" s="10"/>
      <c r="C214" s="21"/>
      <c r="D214" s="21"/>
      <c r="E214" s="17" t="str">
        <f t="shared" si="6"/>
        <v/>
      </c>
      <c r="F214" s="21"/>
      <c r="G214" s="17" t="str">
        <f t="shared" si="7"/>
        <v/>
      </c>
      <c r="H214" s="10"/>
    </row>
    <row r="215" spans="1:8" x14ac:dyDescent="0.3">
      <c r="A215" s="10"/>
      <c r="B215" s="10"/>
      <c r="C215" s="21"/>
      <c r="D215" s="21"/>
      <c r="E215" s="17" t="str">
        <f t="shared" si="6"/>
        <v/>
      </c>
      <c r="F215" s="21"/>
      <c r="G215" s="17" t="str">
        <f t="shared" si="7"/>
        <v/>
      </c>
      <c r="H215" s="10"/>
    </row>
    <row r="216" spans="1:8" x14ac:dyDescent="0.3">
      <c r="A216" s="10"/>
      <c r="B216" s="10"/>
      <c r="C216" s="21"/>
      <c r="D216" s="21"/>
      <c r="E216" s="17" t="str">
        <f t="shared" si="6"/>
        <v/>
      </c>
      <c r="F216" s="21"/>
      <c r="G216" s="17" t="str">
        <f t="shared" si="7"/>
        <v/>
      </c>
      <c r="H216" s="10"/>
    </row>
    <row r="217" spans="1:8" x14ac:dyDescent="0.3">
      <c r="A217" s="10"/>
      <c r="B217" s="10"/>
      <c r="C217" s="21"/>
      <c r="D217" s="21"/>
      <c r="E217" s="17" t="str">
        <f t="shared" si="6"/>
        <v/>
      </c>
      <c r="F217" s="21"/>
      <c r="G217" s="17" t="str">
        <f t="shared" si="7"/>
        <v/>
      </c>
      <c r="H217" s="10"/>
    </row>
    <row r="218" spans="1:8" x14ac:dyDescent="0.3">
      <c r="A218" s="10"/>
      <c r="B218" s="10"/>
      <c r="C218" s="21"/>
      <c r="D218" s="21"/>
      <c r="E218" s="17" t="str">
        <f t="shared" si="6"/>
        <v/>
      </c>
      <c r="F218" s="21"/>
      <c r="G218" s="17" t="str">
        <f t="shared" si="7"/>
        <v/>
      </c>
      <c r="H218" s="10"/>
    </row>
    <row r="219" spans="1:8" x14ac:dyDescent="0.3">
      <c r="A219" s="10"/>
      <c r="B219" s="10"/>
      <c r="C219" s="21"/>
      <c r="D219" s="21"/>
      <c r="E219" s="17" t="str">
        <f t="shared" si="6"/>
        <v/>
      </c>
      <c r="F219" s="21"/>
      <c r="G219" s="17" t="str">
        <f t="shared" si="7"/>
        <v/>
      </c>
      <c r="H219" s="10"/>
    </row>
    <row r="220" spans="1:8" x14ac:dyDescent="0.3">
      <c r="A220" s="10"/>
      <c r="B220" s="10"/>
      <c r="C220" s="21"/>
      <c r="D220" s="21"/>
      <c r="E220" s="17" t="str">
        <f t="shared" si="6"/>
        <v/>
      </c>
      <c r="F220" s="21"/>
      <c r="G220" s="17" t="str">
        <f t="shared" si="7"/>
        <v/>
      </c>
      <c r="H220" s="10"/>
    </row>
    <row r="221" spans="1:8" x14ac:dyDescent="0.3">
      <c r="A221" s="10"/>
      <c r="B221" s="10"/>
      <c r="C221" s="21"/>
      <c r="D221" s="21"/>
      <c r="E221" s="17" t="str">
        <f t="shared" si="6"/>
        <v/>
      </c>
      <c r="F221" s="21"/>
      <c r="G221" s="17" t="str">
        <f t="shared" si="7"/>
        <v/>
      </c>
      <c r="H221" s="10"/>
    </row>
    <row r="222" spans="1:8" x14ac:dyDescent="0.3">
      <c r="A222" s="10"/>
      <c r="B222" s="10"/>
      <c r="C222" s="21"/>
      <c r="D222" s="21"/>
      <c r="E222" s="17" t="str">
        <f t="shared" si="6"/>
        <v/>
      </c>
      <c r="F222" s="21"/>
      <c r="G222" s="17" t="str">
        <f t="shared" si="7"/>
        <v/>
      </c>
      <c r="H222" s="10"/>
    </row>
    <row r="223" spans="1:8" x14ac:dyDescent="0.3">
      <c r="A223" s="10"/>
      <c r="B223" s="10"/>
      <c r="C223" s="21"/>
      <c r="D223" s="21"/>
      <c r="E223" s="17" t="str">
        <f t="shared" si="6"/>
        <v/>
      </c>
      <c r="F223" s="21"/>
      <c r="G223" s="17" t="str">
        <f t="shared" si="7"/>
        <v/>
      </c>
      <c r="H223" s="10"/>
    </row>
    <row r="224" spans="1:8" x14ac:dyDescent="0.3">
      <c r="A224" s="10"/>
      <c r="B224" s="10"/>
      <c r="C224" s="21"/>
      <c r="D224" s="21"/>
      <c r="E224" s="17" t="str">
        <f t="shared" si="6"/>
        <v/>
      </c>
      <c r="F224" s="21"/>
      <c r="G224" s="17" t="str">
        <f t="shared" si="7"/>
        <v/>
      </c>
      <c r="H224" s="10"/>
    </row>
    <row r="225" spans="1:8" x14ac:dyDescent="0.3">
      <c r="A225" s="10"/>
      <c r="B225" s="10"/>
      <c r="C225" s="21"/>
      <c r="D225" s="21"/>
      <c r="E225" s="17" t="str">
        <f t="shared" si="6"/>
        <v/>
      </c>
      <c r="F225" s="21"/>
      <c r="G225" s="17" t="str">
        <f t="shared" si="7"/>
        <v/>
      </c>
      <c r="H225" s="10"/>
    </row>
    <row r="226" spans="1:8" x14ac:dyDescent="0.3">
      <c r="A226" s="10"/>
      <c r="B226" s="10"/>
      <c r="C226" s="21"/>
      <c r="D226" s="21"/>
      <c r="E226" s="17" t="str">
        <f t="shared" si="6"/>
        <v/>
      </c>
      <c r="F226" s="21"/>
      <c r="G226" s="17" t="str">
        <f t="shared" si="7"/>
        <v/>
      </c>
      <c r="H226" s="10"/>
    </row>
    <row r="227" spans="1:8" x14ac:dyDescent="0.3">
      <c r="A227" s="10"/>
      <c r="B227" s="10"/>
      <c r="C227" s="21"/>
      <c r="D227" s="21"/>
      <c r="E227" s="17" t="str">
        <f t="shared" si="6"/>
        <v/>
      </c>
      <c r="F227" s="21"/>
      <c r="G227" s="17" t="str">
        <f t="shared" si="7"/>
        <v/>
      </c>
      <c r="H227" s="10"/>
    </row>
    <row r="228" spans="1:8" x14ac:dyDescent="0.3">
      <c r="A228" s="10"/>
      <c r="B228" s="10"/>
      <c r="C228" s="21"/>
      <c r="D228" s="21"/>
      <c r="E228" s="17" t="str">
        <f t="shared" si="6"/>
        <v/>
      </c>
      <c r="F228" s="21"/>
      <c r="G228" s="17" t="str">
        <f t="shared" si="7"/>
        <v/>
      </c>
      <c r="H228" s="10"/>
    </row>
    <row r="229" spans="1:8" x14ac:dyDescent="0.3">
      <c r="A229" s="10"/>
      <c r="B229" s="10"/>
      <c r="C229" s="21"/>
      <c r="D229" s="21"/>
      <c r="E229" s="17" t="str">
        <f t="shared" si="6"/>
        <v/>
      </c>
      <c r="F229" s="21"/>
      <c r="G229" s="17" t="str">
        <f t="shared" si="7"/>
        <v/>
      </c>
      <c r="H229" s="10"/>
    </row>
    <row r="230" spans="1:8" x14ac:dyDescent="0.3">
      <c r="A230" s="10"/>
      <c r="B230" s="10"/>
      <c r="C230" s="21"/>
      <c r="D230" s="21"/>
      <c r="E230" s="17" t="str">
        <f t="shared" si="6"/>
        <v/>
      </c>
      <c r="F230" s="21"/>
      <c r="G230" s="17" t="str">
        <f t="shared" si="7"/>
        <v/>
      </c>
      <c r="H230" s="10"/>
    </row>
    <row r="231" spans="1:8" x14ac:dyDescent="0.3">
      <c r="A231" s="10"/>
      <c r="B231" s="10"/>
      <c r="C231" s="21"/>
      <c r="D231" s="21"/>
      <c r="E231" s="17" t="str">
        <f t="shared" si="6"/>
        <v/>
      </c>
      <c r="F231" s="21"/>
      <c r="G231" s="17" t="str">
        <f t="shared" si="7"/>
        <v/>
      </c>
      <c r="H231" s="10"/>
    </row>
    <row r="232" spans="1:8" x14ac:dyDescent="0.3">
      <c r="A232" s="10"/>
      <c r="B232" s="10"/>
      <c r="C232" s="21"/>
      <c r="D232" s="21"/>
      <c r="E232" s="17" t="str">
        <f t="shared" si="6"/>
        <v/>
      </c>
      <c r="F232" s="21"/>
      <c r="G232" s="17" t="str">
        <f t="shared" si="7"/>
        <v/>
      </c>
      <c r="H232" s="10"/>
    </row>
    <row r="233" spans="1:8" x14ac:dyDescent="0.3">
      <c r="A233" s="10"/>
      <c r="B233" s="10"/>
      <c r="C233" s="21"/>
      <c r="D233" s="21"/>
      <c r="E233" s="17" t="str">
        <f t="shared" si="6"/>
        <v/>
      </c>
      <c r="F233" s="21"/>
      <c r="G233" s="17" t="str">
        <f t="shared" si="7"/>
        <v/>
      </c>
      <c r="H233" s="10"/>
    </row>
    <row r="234" spans="1:8" x14ac:dyDescent="0.3">
      <c r="A234" s="10"/>
      <c r="B234" s="10"/>
      <c r="C234" s="21"/>
      <c r="D234" s="21"/>
      <c r="E234" s="17" t="str">
        <f t="shared" si="6"/>
        <v/>
      </c>
      <c r="F234" s="21"/>
      <c r="G234" s="17" t="str">
        <f t="shared" si="7"/>
        <v/>
      </c>
      <c r="H234" s="10"/>
    </row>
    <row r="235" spans="1:8" x14ac:dyDescent="0.3">
      <c r="A235" s="10"/>
      <c r="B235" s="10"/>
      <c r="C235" s="21"/>
      <c r="D235" s="21"/>
      <c r="E235" s="17" t="str">
        <f t="shared" si="6"/>
        <v/>
      </c>
      <c r="F235" s="21"/>
      <c r="G235" s="17" t="str">
        <f t="shared" si="7"/>
        <v/>
      </c>
      <c r="H235" s="10"/>
    </row>
    <row r="236" spans="1:8" x14ac:dyDescent="0.3">
      <c r="A236" s="10"/>
      <c r="B236" s="10"/>
      <c r="C236" s="21"/>
      <c r="D236" s="21"/>
      <c r="E236" s="17" t="str">
        <f t="shared" si="6"/>
        <v/>
      </c>
      <c r="F236" s="21"/>
      <c r="G236" s="17" t="str">
        <f t="shared" si="7"/>
        <v/>
      </c>
      <c r="H236" s="10"/>
    </row>
    <row r="237" spans="1:8" x14ac:dyDescent="0.3">
      <c r="A237" s="10"/>
      <c r="B237" s="10"/>
      <c r="C237" s="21"/>
      <c r="D237" s="21"/>
      <c r="E237" s="17" t="str">
        <f t="shared" si="6"/>
        <v/>
      </c>
      <c r="F237" s="21"/>
      <c r="G237" s="17" t="str">
        <f t="shared" si="7"/>
        <v/>
      </c>
      <c r="H237" s="10"/>
    </row>
    <row r="238" spans="1:8" x14ac:dyDescent="0.3">
      <c r="A238" s="10"/>
      <c r="B238" s="10"/>
      <c r="C238" s="21"/>
      <c r="D238" s="21"/>
      <c r="E238" s="17" t="str">
        <f t="shared" si="6"/>
        <v/>
      </c>
      <c r="F238" s="21"/>
      <c r="G238" s="17" t="str">
        <f t="shared" si="7"/>
        <v/>
      </c>
      <c r="H238" s="10"/>
    </row>
    <row r="239" spans="1:8" x14ac:dyDescent="0.3">
      <c r="A239" s="10"/>
      <c r="B239" s="10"/>
      <c r="C239" s="21"/>
      <c r="D239" s="21"/>
      <c r="E239" s="17" t="str">
        <f t="shared" si="6"/>
        <v/>
      </c>
      <c r="F239" s="21"/>
      <c r="G239" s="17" t="str">
        <f t="shared" si="7"/>
        <v/>
      </c>
      <c r="H239" s="10"/>
    </row>
    <row r="240" spans="1:8" x14ac:dyDescent="0.3">
      <c r="A240" s="10"/>
      <c r="B240" s="10"/>
      <c r="C240" s="21"/>
      <c r="D240" s="21"/>
      <c r="E240" s="17" t="str">
        <f t="shared" si="6"/>
        <v/>
      </c>
      <c r="F240" s="21"/>
      <c r="G240" s="17" t="str">
        <f t="shared" si="7"/>
        <v/>
      </c>
      <c r="H240" s="10"/>
    </row>
    <row r="241" spans="1:8" x14ac:dyDescent="0.3">
      <c r="A241" s="10"/>
      <c r="B241" s="10"/>
      <c r="C241" s="21"/>
      <c r="D241" s="21"/>
      <c r="E241" s="17" t="str">
        <f t="shared" si="6"/>
        <v/>
      </c>
      <c r="F241" s="21"/>
      <c r="G241" s="17" t="str">
        <f t="shared" si="7"/>
        <v/>
      </c>
      <c r="H241" s="10"/>
    </row>
    <row r="242" spans="1:8" x14ac:dyDescent="0.3">
      <c r="A242" s="10"/>
      <c r="B242" s="10"/>
      <c r="C242" s="21"/>
      <c r="D242" s="21"/>
      <c r="E242" s="17" t="str">
        <f t="shared" si="6"/>
        <v/>
      </c>
      <c r="F242" s="21"/>
      <c r="G242" s="17" t="str">
        <f t="shared" si="7"/>
        <v/>
      </c>
      <c r="H242" s="10"/>
    </row>
    <row r="243" spans="1:8" x14ac:dyDescent="0.3">
      <c r="A243" s="10"/>
      <c r="B243" s="10"/>
      <c r="C243" s="21"/>
      <c r="D243" s="21"/>
      <c r="E243" s="17" t="str">
        <f t="shared" si="6"/>
        <v/>
      </c>
      <c r="F243" s="21"/>
      <c r="G243" s="17" t="str">
        <f t="shared" si="7"/>
        <v/>
      </c>
      <c r="H243" s="10"/>
    </row>
    <row r="244" spans="1:8" x14ac:dyDescent="0.3">
      <c r="A244" s="10"/>
      <c r="B244" s="10"/>
      <c r="C244" s="21"/>
      <c r="D244" s="21"/>
      <c r="E244" s="17" t="str">
        <f t="shared" si="6"/>
        <v/>
      </c>
      <c r="F244" s="21"/>
      <c r="G244" s="17" t="str">
        <f t="shared" si="7"/>
        <v/>
      </c>
      <c r="H244" s="10"/>
    </row>
    <row r="245" spans="1:8" x14ac:dyDescent="0.3">
      <c r="A245" s="10"/>
      <c r="B245" s="10"/>
      <c r="C245" s="21"/>
      <c r="D245" s="21"/>
      <c r="E245" s="17" t="str">
        <f t="shared" si="6"/>
        <v/>
      </c>
      <c r="F245" s="21"/>
      <c r="G245" s="17" t="str">
        <f t="shared" si="7"/>
        <v/>
      </c>
      <c r="H245" s="10"/>
    </row>
    <row r="246" spans="1:8" x14ac:dyDescent="0.3">
      <c r="A246" s="10"/>
      <c r="B246" s="10"/>
      <c r="C246" s="21"/>
      <c r="D246" s="21"/>
      <c r="E246" s="17" t="str">
        <f t="shared" si="6"/>
        <v/>
      </c>
      <c r="F246" s="21"/>
      <c r="G246" s="17" t="str">
        <f t="shared" si="7"/>
        <v/>
      </c>
      <c r="H246" s="10"/>
    </row>
    <row r="247" spans="1:8" x14ac:dyDescent="0.3">
      <c r="A247" s="10"/>
      <c r="B247" s="10"/>
      <c r="C247" s="21"/>
      <c r="D247" s="21"/>
      <c r="E247" s="17" t="str">
        <f t="shared" si="6"/>
        <v/>
      </c>
      <c r="F247" s="21"/>
      <c r="G247" s="17" t="str">
        <f t="shared" si="7"/>
        <v/>
      </c>
      <c r="H247" s="10"/>
    </row>
    <row r="248" spans="1:8" x14ac:dyDescent="0.3">
      <c r="A248" s="10"/>
      <c r="B248" s="10"/>
      <c r="C248" s="21"/>
      <c r="D248" s="21"/>
      <c r="E248" s="17" t="str">
        <f t="shared" si="6"/>
        <v/>
      </c>
      <c r="F248" s="21"/>
      <c r="G248" s="17" t="str">
        <f t="shared" si="7"/>
        <v/>
      </c>
      <c r="H248" s="10"/>
    </row>
    <row r="249" spans="1:8" x14ac:dyDescent="0.3">
      <c r="A249" s="10"/>
      <c r="B249" s="10"/>
      <c r="C249" s="21"/>
      <c r="D249" s="21"/>
      <c r="E249" s="17" t="str">
        <f t="shared" si="6"/>
        <v/>
      </c>
      <c r="F249" s="21"/>
      <c r="G249" s="17" t="str">
        <f t="shared" si="7"/>
        <v/>
      </c>
      <c r="H249" s="10"/>
    </row>
    <row r="250" spans="1:8" x14ac:dyDescent="0.3">
      <c r="A250" s="10"/>
      <c r="B250" s="10"/>
      <c r="C250" s="21"/>
      <c r="D250" s="21"/>
      <c r="E250" s="17" t="str">
        <f t="shared" si="6"/>
        <v/>
      </c>
      <c r="F250" s="21"/>
      <c r="G250" s="17" t="str">
        <f t="shared" si="7"/>
        <v/>
      </c>
      <c r="H250" s="10"/>
    </row>
    <row r="251" spans="1:8" x14ac:dyDescent="0.3">
      <c r="A251" s="10"/>
      <c r="B251" s="10"/>
      <c r="C251" s="21"/>
      <c r="D251" s="21"/>
      <c r="E251" s="17" t="str">
        <f t="shared" si="6"/>
        <v/>
      </c>
      <c r="F251" s="21"/>
      <c r="G251" s="17" t="str">
        <f t="shared" si="7"/>
        <v/>
      </c>
      <c r="H251" s="10"/>
    </row>
    <row r="252" spans="1:8" x14ac:dyDescent="0.3">
      <c r="A252" s="10"/>
      <c r="B252" s="10"/>
      <c r="C252" s="21"/>
      <c r="D252" s="21"/>
      <c r="E252" s="17" t="str">
        <f t="shared" si="6"/>
        <v/>
      </c>
      <c r="F252" s="21"/>
      <c r="G252" s="17" t="str">
        <f t="shared" si="7"/>
        <v/>
      </c>
      <c r="H252" s="10"/>
    </row>
    <row r="253" spans="1:8" x14ac:dyDescent="0.3">
      <c r="A253" s="10"/>
      <c r="B253" s="10"/>
      <c r="C253" s="21"/>
      <c r="D253" s="21"/>
      <c r="E253" s="17" t="str">
        <f t="shared" si="6"/>
        <v/>
      </c>
      <c r="F253" s="21"/>
      <c r="G253" s="17" t="str">
        <f t="shared" si="7"/>
        <v/>
      </c>
      <c r="H253" s="10"/>
    </row>
    <row r="254" spans="1:8" x14ac:dyDescent="0.3">
      <c r="A254" s="10"/>
      <c r="B254" s="10"/>
      <c r="C254" s="21"/>
      <c r="D254" s="21"/>
      <c r="E254" s="17" t="str">
        <f t="shared" si="6"/>
        <v/>
      </c>
      <c r="F254" s="21"/>
      <c r="G254" s="17" t="str">
        <f t="shared" si="7"/>
        <v/>
      </c>
      <c r="H254" s="10"/>
    </row>
    <row r="255" spans="1:8" x14ac:dyDescent="0.3">
      <c r="A255" s="10"/>
      <c r="B255" s="10"/>
      <c r="C255" s="21"/>
      <c r="D255" s="21"/>
      <c r="E255" s="17" t="str">
        <f t="shared" si="6"/>
        <v/>
      </c>
      <c r="F255" s="21"/>
      <c r="G255" s="17" t="str">
        <f t="shared" si="7"/>
        <v/>
      </c>
      <c r="H255" s="10"/>
    </row>
    <row r="256" spans="1:8" x14ac:dyDescent="0.3">
      <c r="A256" s="10"/>
      <c r="B256" s="10"/>
      <c r="C256" s="21"/>
      <c r="D256" s="21"/>
      <c r="E256" s="17" t="str">
        <f t="shared" si="6"/>
        <v/>
      </c>
      <c r="F256" s="21"/>
      <c r="G256" s="17" t="str">
        <f t="shared" si="7"/>
        <v/>
      </c>
      <c r="H256" s="10"/>
    </row>
    <row r="257" spans="1:8" x14ac:dyDescent="0.3">
      <c r="A257" s="10"/>
      <c r="B257" s="10"/>
      <c r="C257" s="21"/>
      <c r="D257" s="21"/>
      <c r="E257" s="17" t="str">
        <f t="shared" si="6"/>
        <v/>
      </c>
      <c r="F257" s="21"/>
      <c r="G257" s="17" t="str">
        <f t="shared" si="7"/>
        <v/>
      </c>
      <c r="H257" s="10"/>
    </row>
    <row r="258" spans="1:8" x14ac:dyDescent="0.3">
      <c r="A258" s="10"/>
      <c r="B258" s="10"/>
      <c r="C258" s="21"/>
      <c r="D258" s="21"/>
      <c r="E258" s="17" t="str">
        <f t="shared" ref="E258:E321" si="8">IF($A258="","",$C258-$D258)</f>
        <v/>
      </c>
      <c r="F258" s="21"/>
      <c r="G258" s="17" t="str">
        <f t="shared" ref="G258:G321" si="9">IF($A258="","",IF($F258="","",IF($C258-$D258&lt;=$F258,"REORDER","OK")))</f>
        <v/>
      </c>
      <c r="H258" s="10"/>
    </row>
    <row r="259" spans="1:8" x14ac:dyDescent="0.3">
      <c r="A259" s="10"/>
      <c r="B259" s="10"/>
      <c r="C259" s="21"/>
      <c r="D259" s="21"/>
      <c r="E259" s="17" t="str">
        <f t="shared" si="8"/>
        <v/>
      </c>
      <c r="F259" s="21"/>
      <c r="G259" s="17" t="str">
        <f t="shared" si="9"/>
        <v/>
      </c>
      <c r="H259" s="10"/>
    </row>
    <row r="260" spans="1:8" x14ac:dyDescent="0.3">
      <c r="A260" s="10"/>
      <c r="B260" s="10"/>
      <c r="C260" s="21"/>
      <c r="D260" s="21"/>
      <c r="E260" s="17" t="str">
        <f t="shared" si="8"/>
        <v/>
      </c>
      <c r="F260" s="21"/>
      <c r="G260" s="17" t="str">
        <f t="shared" si="9"/>
        <v/>
      </c>
      <c r="H260" s="10"/>
    </row>
    <row r="261" spans="1:8" x14ac:dyDescent="0.3">
      <c r="A261" s="10"/>
      <c r="B261" s="10"/>
      <c r="C261" s="21"/>
      <c r="D261" s="21"/>
      <c r="E261" s="17" t="str">
        <f t="shared" si="8"/>
        <v/>
      </c>
      <c r="F261" s="21"/>
      <c r="G261" s="17" t="str">
        <f t="shared" si="9"/>
        <v/>
      </c>
      <c r="H261" s="10"/>
    </row>
    <row r="262" spans="1:8" x14ac:dyDescent="0.3">
      <c r="A262" s="10"/>
      <c r="B262" s="10"/>
      <c r="C262" s="21"/>
      <c r="D262" s="21"/>
      <c r="E262" s="17" t="str">
        <f t="shared" si="8"/>
        <v/>
      </c>
      <c r="F262" s="21"/>
      <c r="G262" s="17" t="str">
        <f t="shared" si="9"/>
        <v/>
      </c>
      <c r="H262" s="10"/>
    </row>
    <row r="263" spans="1:8" x14ac:dyDescent="0.3">
      <c r="A263" s="10"/>
      <c r="B263" s="10"/>
      <c r="C263" s="21"/>
      <c r="D263" s="21"/>
      <c r="E263" s="17" t="str">
        <f t="shared" si="8"/>
        <v/>
      </c>
      <c r="F263" s="21"/>
      <c r="G263" s="17" t="str">
        <f t="shared" si="9"/>
        <v/>
      </c>
      <c r="H263" s="10"/>
    </row>
    <row r="264" spans="1:8" x14ac:dyDescent="0.3">
      <c r="A264" s="10"/>
      <c r="B264" s="10"/>
      <c r="C264" s="21"/>
      <c r="D264" s="21"/>
      <c r="E264" s="17" t="str">
        <f t="shared" si="8"/>
        <v/>
      </c>
      <c r="F264" s="21"/>
      <c r="G264" s="17" t="str">
        <f t="shared" si="9"/>
        <v/>
      </c>
      <c r="H264" s="10"/>
    </row>
    <row r="265" spans="1:8" x14ac:dyDescent="0.3">
      <c r="A265" s="10"/>
      <c r="B265" s="10"/>
      <c r="C265" s="21"/>
      <c r="D265" s="21"/>
      <c r="E265" s="17" t="str">
        <f t="shared" si="8"/>
        <v/>
      </c>
      <c r="F265" s="21"/>
      <c r="G265" s="17" t="str">
        <f t="shared" si="9"/>
        <v/>
      </c>
      <c r="H265" s="10"/>
    </row>
    <row r="266" spans="1:8" x14ac:dyDescent="0.3">
      <c r="A266" s="10"/>
      <c r="B266" s="10"/>
      <c r="C266" s="21"/>
      <c r="D266" s="21"/>
      <c r="E266" s="17" t="str">
        <f t="shared" si="8"/>
        <v/>
      </c>
      <c r="F266" s="21"/>
      <c r="G266" s="17" t="str">
        <f t="shared" si="9"/>
        <v/>
      </c>
      <c r="H266" s="10"/>
    </row>
    <row r="267" spans="1:8" x14ac:dyDescent="0.3">
      <c r="A267" s="10"/>
      <c r="B267" s="10"/>
      <c r="C267" s="21"/>
      <c r="D267" s="21"/>
      <c r="E267" s="17" t="str">
        <f t="shared" si="8"/>
        <v/>
      </c>
      <c r="F267" s="21"/>
      <c r="G267" s="17" t="str">
        <f t="shared" si="9"/>
        <v/>
      </c>
      <c r="H267" s="10"/>
    </row>
    <row r="268" spans="1:8" x14ac:dyDescent="0.3">
      <c r="A268" s="10"/>
      <c r="B268" s="10"/>
      <c r="C268" s="21"/>
      <c r="D268" s="21"/>
      <c r="E268" s="17" t="str">
        <f t="shared" si="8"/>
        <v/>
      </c>
      <c r="F268" s="21"/>
      <c r="G268" s="17" t="str">
        <f t="shared" si="9"/>
        <v/>
      </c>
      <c r="H268" s="10"/>
    </row>
    <row r="269" spans="1:8" x14ac:dyDescent="0.3">
      <c r="A269" s="10"/>
      <c r="B269" s="10"/>
      <c r="C269" s="21"/>
      <c r="D269" s="21"/>
      <c r="E269" s="17" t="str">
        <f t="shared" si="8"/>
        <v/>
      </c>
      <c r="F269" s="21"/>
      <c r="G269" s="17" t="str">
        <f t="shared" si="9"/>
        <v/>
      </c>
      <c r="H269" s="10"/>
    </row>
    <row r="270" spans="1:8" x14ac:dyDescent="0.3">
      <c r="A270" s="10"/>
      <c r="B270" s="10"/>
      <c r="C270" s="21"/>
      <c r="D270" s="21"/>
      <c r="E270" s="17" t="str">
        <f t="shared" si="8"/>
        <v/>
      </c>
      <c r="F270" s="21"/>
      <c r="G270" s="17" t="str">
        <f t="shared" si="9"/>
        <v/>
      </c>
      <c r="H270" s="10"/>
    </row>
    <row r="271" spans="1:8" x14ac:dyDescent="0.3">
      <c r="A271" s="10"/>
      <c r="B271" s="10"/>
      <c r="C271" s="21"/>
      <c r="D271" s="21"/>
      <c r="E271" s="17" t="str">
        <f t="shared" si="8"/>
        <v/>
      </c>
      <c r="F271" s="21"/>
      <c r="G271" s="17" t="str">
        <f t="shared" si="9"/>
        <v/>
      </c>
      <c r="H271" s="10"/>
    </row>
    <row r="272" spans="1:8" x14ac:dyDescent="0.3">
      <c r="A272" s="10"/>
      <c r="B272" s="10"/>
      <c r="C272" s="21"/>
      <c r="D272" s="21"/>
      <c r="E272" s="17" t="str">
        <f t="shared" si="8"/>
        <v/>
      </c>
      <c r="F272" s="21"/>
      <c r="G272" s="17" t="str">
        <f t="shared" si="9"/>
        <v/>
      </c>
      <c r="H272" s="10"/>
    </row>
    <row r="273" spans="1:8" x14ac:dyDescent="0.3">
      <c r="A273" s="10"/>
      <c r="B273" s="10"/>
      <c r="C273" s="21"/>
      <c r="D273" s="21"/>
      <c r="E273" s="17" t="str">
        <f t="shared" si="8"/>
        <v/>
      </c>
      <c r="F273" s="21"/>
      <c r="G273" s="17" t="str">
        <f t="shared" si="9"/>
        <v/>
      </c>
      <c r="H273" s="10"/>
    </row>
    <row r="274" spans="1:8" x14ac:dyDescent="0.3">
      <c r="A274" s="10"/>
      <c r="B274" s="10"/>
      <c r="C274" s="21"/>
      <c r="D274" s="21"/>
      <c r="E274" s="17" t="str">
        <f t="shared" si="8"/>
        <v/>
      </c>
      <c r="F274" s="21"/>
      <c r="G274" s="17" t="str">
        <f t="shared" si="9"/>
        <v/>
      </c>
      <c r="H274" s="10"/>
    </row>
    <row r="275" spans="1:8" x14ac:dyDescent="0.3">
      <c r="A275" s="10"/>
      <c r="B275" s="10"/>
      <c r="C275" s="21"/>
      <c r="D275" s="21"/>
      <c r="E275" s="17" t="str">
        <f t="shared" si="8"/>
        <v/>
      </c>
      <c r="F275" s="21"/>
      <c r="G275" s="17" t="str">
        <f t="shared" si="9"/>
        <v/>
      </c>
      <c r="H275" s="10"/>
    </row>
    <row r="276" spans="1:8" x14ac:dyDescent="0.3">
      <c r="A276" s="10"/>
      <c r="B276" s="10"/>
      <c r="C276" s="21"/>
      <c r="D276" s="21"/>
      <c r="E276" s="17" t="str">
        <f t="shared" si="8"/>
        <v/>
      </c>
      <c r="F276" s="21"/>
      <c r="G276" s="17" t="str">
        <f t="shared" si="9"/>
        <v/>
      </c>
      <c r="H276" s="10"/>
    </row>
    <row r="277" spans="1:8" x14ac:dyDescent="0.3">
      <c r="A277" s="10"/>
      <c r="B277" s="10"/>
      <c r="C277" s="21"/>
      <c r="D277" s="21"/>
      <c r="E277" s="17" t="str">
        <f t="shared" si="8"/>
        <v/>
      </c>
      <c r="F277" s="21"/>
      <c r="G277" s="17" t="str">
        <f t="shared" si="9"/>
        <v/>
      </c>
      <c r="H277" s="10"/>
    </row>
    <row r="278" spans="1:8" x14ac:dyDescent="0.3">
      <c r="A278" s="10"/>
      <c r="B278" s="10"/>
      <c r="C278" s="21"/>
      <c r="D278" s="21"/>
      <c r="E278" s="17" t="str">
        <f t="shared" si="8"/>
        <v/>
      </c>
      <c r="F278" s="21"/>
      <c r="G278" s="17" t="str">
        <f t="shared" si="9"/>
        <v/>
      </c>
      <c r="H278" s="10"/>
    </row>
    <row r="279" spans="1:8" x14ac:dyDescent="0.3">
      <c r="A279" s="10"/>
      <c r="B279" s="10"/>
      <c r="C279" s="21"/>
      <c r="D279" s="21"/>
      <c r="E279" s="17" t="str">
        <f t="shared" si="8"/>
        <v/>
      </c>
      <c r="F279" s="21"/>
      <c r="G279" s="17" t="str">
        <f t="shared" si="9"/>
        <v/>
      </c>
      <c r="H279" s="10"/>
    </row>
    <row r="280" spans="1:8" x14ac:dyDescent="0.3">
      <c r="A280" s="10"/>
      <c r="B280" s="10"/>
      <c r="C280" s="21"/>
      <c r="D280" s="21"/>
      <c r="E280" s="17" t="str">
        <f t="shared" si="8"/>
        <v/>
      </c>
      <c r="F280" s="21"/>
      <c r="G280" s="17" t="str">
        <f t="shared" si="9"/>
        <v/>
      </c>
      <c r="H280" s="10"/>
    </row>
    <row r="281" spans="1:8" x14ac:dyDescent="0.3">
      <c r="A281" s="10"/>
      <c r="B281" s="10"/>
      <c r="C281" s="21"/>
      <c r="D281" s="21"/>
      <c r="E281" s="17" t="str">
        <f t="shared" si="8"/>
        <v/>
      </c>
      <c r="F281" s="21"/>
      <c r="G281" s="17" t="str">
        <f t="shared" si="9"/>
        <v/>
      </c>
      <c r="H281" s="10"/>
    </row>
    <row r="282" spans="1:8" x14ac:dyDescent="0.3">
      <c r="A282" s="10"/>
      <c r="B282" s="10"/>
      <c r="C282" s="21"/>
      <c r="D282" s="21"/>
      <c r="E282" s="17" t="str">
        <f t="shared" si="8"/>
        <v/>
      </c>
      <c r="F282" s="21"/>
      <c r="G282" s="17" t="str">
        <f t="shared" si="9"/>
        <v/>
      </c>
      <c r="H282" s="10"/>
    </row>
    <row r="283" spans="1:8" x14ac:dyDescent="0.3">
      <c r="A283" s="10"/>
      <c r="B283" s="10"/>
      <c r="C283" s="21"/>
      <c r="D283" s="21"/>
      <c r="E283" s="17" t="str">
        <f t="shared" si="8"/>
        <v/>
      </c>
      <c r="F283" s="21"/>
      <c r="G283" s="17" t="str">
        <f t="shared" si="9"/>
        <v/>
      </c>
      <c r="H283" s="10"/>
    </row>
    <row r="284" spans="1:8" x14ac:dyDescent="0.3">
      <c r="A284" s="10"/>
      <c r="B284" s="10"/>
      <c r="C284" s="21"/>
      <c r="D284" s="21"/>
      <c r="E284" s="17" t="str">
        <f t="shared" si="8"/>
        <v/>
      </c>
      <c r="F284" s="21"/>
      <c r="G284" s="17" t="str">
        <f t="shared" si="9"/>
        <v/>
      </c>
      <c r="H284" s="10"/>
    </row>
    <row r="285" spans="1:8" x14ac:dyDescent="0.3">
      <c r="A285" s="10"/>
      <c r="B285" s="10"/>
      <c r="C285" s="21"/>
      <c r="D285" s="21"/>
      <c r="E285" s="17" t="str">
        <f t="shared" si="8"/>
        <v/>
      </c>
      <c r="F285" s="21"/>
      <c r="G285" s="17" t="str">
        <f t="shared" si="9"/>
        <v/>
      </c>
      <c r="H285" s="10"/>
    </row>
    <row r="286" spans="1:8" x14ac:dyDescent="0.3">
      <c r="A286" s="10"/>
      <c r="B286" s="10"/>
      <c r="C286" s="21"/>
      <c r="D286" s="21"/>
      <c r="E286" s="17" t="str">
        <f t="shared" si="8"/>
        <v/>
      </c>
      <c r="F286" s="21"/>
      <c r="G286" s="17" t="str">
        <f t="shared" si="9"/>
        <v/>
      </c>
      <c r="H286" s="10"/>
    </row>
    <row r="287" spans="1:8" x14ac:dyDescent="0.3">
      <c r="A287" s="10"/>
      <c r="B287" s="10"/>
      <c r="C287" s="21"/>
      <c r="D287" s="21"/>
      <c r="E287" s="17" t="str">
        <f t="shared" si="8"/>
        <v/>
      </c>
      <c r="F287" s="21"/>
      <c r="G287" s="17" t="str">
        <f t="shared" si="9"/>
        <v/>
      </c>
      <c r="H287" s="10"/>
    </row>
    <row r="288" spans="1:8" x14ac:dyDescent="0.3">
      <c r="A288" s="10"/>
      <c r="B288" s="10"/>
      <c r="C288" s="21"/>
      <c r="D288" s="21"/>
      <c r="E288" s="17" t="str">
        <f t="shared" si="8"/>
        <v/>
      </c>
      <c r="F288" s="21"/>
      <c r="G288" s="17" t="str">
        <f t="shared" si="9"/>
        <v/>
      </c>
      <c r="H288" s="10"/>
    </row>
    <row r="289" spans="1:8" x14ac:dyDescent="0.3">
      <c r="A289" s="10"/>
      <c r="B289" s="10"/>
      <c r="C289" s="21"/>
      <c r="D289" s="21"/>
      <c r="E289" s="17" t="str">
        <f t="shared" si="8"/>
        <v/>
      </c>
      <c r="F289" s="21"/>
      <c r="G289" s="17" t="str">
        <f t="shared" si="9"/>
        <v/>
      </c>
      <c r="H289" s="10"/>
    </row>
    <row r="290" spans="1:8" x14ac:dyDescent="0.3">
      <c r="A290" s="10"/>
      <c r="B290" s="10"/>
      <c r="C290" s="21"/>
      <c r="D290" s="21"/>
      <c r="E290" s="17" t="str">
        <f t="shared" si="8"/>
        <v/>
      </c>
      <c r="F290" s="21"/>
      <c r="G290" s="17" t="str">
        <f t="shared" si="9"/>
        <v/>
      </c>
      <c r="H290" s="10"/>
    </row>
    <row r="291" spans="1:8" x14ac:dyDescent="0.3">
      <c r="A291" s="10"/>
      <c r="B291" s="10"/>
      <c r="C291" s="21"/>
      <c r="D291" s="21"/>
      <c r="E291" s="17" t="str">
        <f t="shared" si="8"/>
        <v/>
      </c>
      <c r="F291" s="21"/>
      <c r="G291" s="17" t="str">
        <f t="shared" si="9"/>
        <v/>
      </c>
      <c r="H291" s="10"/>
    </row>
    <row r="292" spans="1:8" x14ac:dyDescent="0.3">
      <c r="A292" s="10"/>
      <c r="B292" s="10"/>
      <c r="C292" s="21"/>
      <c r="D292" s="21"/>
      <c r="E292" s="17" t="str">
        <f t="shared" si="8"/>
        <v/>
      </c>
      <c r="F292" s="21"/>
      <c r="G292" s="17" t="str">
        <f t="shared" si="9"/>
        <v/>
      </c>
      <c r="H292" s="10"/>
    </row>
    <row r="293" spans="1:8" x14ac:dyDescent="0.3">
      <c r="A293" s="10"/>
      <c r="B293" s="10"/>
      <c r="C293" s="21"/>
      <c r="D293" s="21"/>
      <c r="E293" s="17" t="str">
        <f t="shared" si="8"/>
        <v/>
      </c>
      <c r="F293" s="21"/>
      <c r="G293" s="17" t="str">
        <f t="shared" si="9"/>
        <v/>
      </c>
      <c r="H293" s="10"/>
    </row>
    <row r="294" spans="1:8" x14ac:dyDescent="0.3">
      <c r="A294" s="10"/>
      <c r="B294" s="10"/>
      <c r="C294" s="21"/>
      <c r="D294" s="21"/>
      <c r="E294" s="17" t="str">
        <f t="shared" si="8"/>
        <v/>
      </c>
      <c r="F294" s="21"/>
      <c r="G294" s="17" t="str">
        <f t="shared" si="9"/>
        <v/>
      </c>
      <c r="H294" s="10"/>
    </row>
    <row r="295" spans="1:8" x14ac:dyDescent="0.3">
      <c r="A295" s="10"/>
      <c r="B295" s="10"/>
      <c r="C295" s="21"/>
      <c r="D295" s="21"/>
      <c r="E295" s="17" t="str">
        <f t="shared" si="8"/>
        <v/>
      </c>
      <c r="F295" s="21"/>
      <c r="G295" s="17" t="str">
        <f t="shared" si="9"/>
        <v/>
      </c>
      <c r="H295" s="10"/>
    </row>
    <row r="296" spans="1:8" x14ac:dyDescent="0.3">
      <c r="A296" s="10"/>
      <c r="B296" s="10"/>
      <c r="C296" s="21"/>
      <c r="D296" s="21"/>
      <c r="E296" s="17" t="str">
        <f t="shared" si="8"/>
        <v/>
      </c>
      <c r="F296" s="21"/>
      <c r="G296" s="17" t="str">
        <f t="shared" si="9"/>
        <v/>
      </c>
      <c r="H296" s="10"/>
    </row>
    <row r="297" spans="1:8" x14ac:dyDescent="0.3">
      <c r="A297" s="10"/>
      <c r="B297" s="10"/>
      <c r="C297" s="21"/>
      <c r="D297" s="21"/>
      <c r="E297" s="17" t="str">
        <f t="shared" si="8"/>
        <v/>
      </c>
      <c r="F297" s="21"/>
      <c r="G297" s="17" t="str">
        <f t="shared" si="9"/>
        <v/>
      </c>
      <c r="H297" s="10"/>
    </row>
    <row r="298" spans="1:8" x14ac:dyDescent="0.3">
      <c r="A298" s="10"/>
      <c r="B298" s="10"/>
      <c r="C298" s="21"/>
      <c r="D298" s="21"/>
      <c r="E298" s="17" t="str">
        <f t="shared" si="8"/>
        <v/>
      </c>
      <c r="F298" s="21"/>
      <c r="G298" s="17" t="str">
        <f t="shared" si="9"/>
        <v/>
      </c>
      <c r="H298" s="10"/>
    </row>
    <row r="299" spans="1:8" x14ac:dyDescent="0.3">
      <c r="A299" s="10"/>
      <c r="B299" s="10"/>
      <c r="C299" s="21"/>
      <c r="D299" s="21"/>
      <c r="E299" s="17" t="str">
        <f t="shared" si="8"/>
        <v/>
      </c>
      <c r="F299" s="21"/>
      <c r="G299" s="17" t="str">
        <f t="shared" si="9"/>
        <v/>
      </c>
      <c r="H299" s="10"/>
    </row>
    <row r="300" spans="1:8" x14ac:dyDescent="0.3">
      <c r="A300" s="10"/>
      <c r="B300" s="10"/>
      <c r="C300" s="21"/>
      <c r="D300" s="21"/>
      <c r="E300" s="17" t="str">
        <f t="shared" si="8"/>
        <v/>
      </c>
      <c r="F300" s="21"/>
      <c r="G300" s="17" t="str">
        <f t="shared" si="9"/>
        <v/>
      </c>
      <c r="H300" s="10"/>
    </row>
    <row r="301" spans="1:8" x14ac:dyDescent="0.3">
      <c r="A301" s="10"/>
      <c r="B301" s="10"/>
      <c r="C301" s="21"/>
      <c r="D301" s="21"/>
      <c r="E301" s="17" t="str">
        <f t="shared" si="8"/>
        <v/>
      </c>
      <c r="F301" s="21"/>
      <c r="G301" s="17" t="str">
        <f t="shared" si="9"/>
        <v/>
      </c>
      <c r="H301" s="10"/>
    </row>
    <row r="302" spans="1:8" x14ac:dyDescent="0.3">
      <c r="A302" s="10"/>
      <c r="B302" s="10"/>
      <c r="C302" s="21"/>
      <c r="D302" s="21"/>
      <c r="E302" s="17" t="str">
        <f t="shared" si="8"/>
        <v/>
      </c>
      <c r="F302" s="21"/>
      <c r="G302" s="17" t="str">
        <f t="shared" si="9"/>
        <v/>
      </c>
      <c r="H302" s="10"/>
    </row>
    <row r="303" spans="1:8" x14ac:dyDescent="0.3">
      <c r="A303" s="10"/>
      <c r="B303" s="10"/>
      <c r="C303" s="21"/>
      <c r="D303" s="21"/>
      <c r="E303" s="17" t="str">
        <f t="shared" si="8"/>
        <v/>
      </c>
      <c r="F303" s="21"/>
      <c r="G303" s="17" t="str">
        <f t="shared" si="9"/>
        <v/>
      </c>
      <c r="H303" s="10"/>
    </row>
    <row r="304" spans="1:8" x14ac:dyDescent="0.3">
      <c r="A304" s="10"/>
      <c r="B304" s="10"/>
      <c r="C304" s="21"/>
      <c r="D304" s="21"/>
      <c r="E304" s="17" t="str">
        <f t="shared" si="8"/>
        <v/>
      </c>
      <c r="F304" s="21"/>
      <c r="G304" s="17" t="str">
        <f t="shared" si="9"/>
        <v/>
      </c>
      <c r="H304" s="10"/>
    </row>
    <row r="305" spans="1:8" x14ac:dyDescent="0.3">
      <c r="A305" s="10"/>
      <c r="B305" s="10"/>
      <c r="C305" s="21"/>
      <c r="D305" s="21"/>
      <c r="E305" s="17" t="str">
        <f t="shared" si="8"/>
        <v/>
      </c>
      <c r="F305" s="21"/>
      <c r="G305" s="17" t="str">
        <f t="shared" si="9"/>
        <v/>
      </c>
      <c r="H305" s="10"/>
    </row>
    <row r="306" spans="1:8" x14ac:dyDescent="0.3">
      <c r="A306" s="10"/>
      <c r="B306" s="10"/>
      <c r="C306" s="21"/>
      <c r="D306" s="21"/>
      <c r="E306" s="17" t="str">
        <f t="shared" si="8"/>
        <v/>
      </c>
      <c r="F306" s="21"/>
      <c r="G306" s="17" t="str">
        <f t="shared" si="9"/>
        <v/>
      </c>
      <c r="H306" s="10"/>
    </row>
    <row r="307" spans="1:8" x14ac:dyDescent="0.3">
      <c r="A307" s="10"/>
      <c r="B307" s="10"/>
      <c r="C307" s="21"/>
      <c r="D307" s="21"/>
      <c r="E307" s="17" t="str">
        <f t="shared" si="8"/>
        <v/>
      </c>
      <c r="F307" s="21"/>
      <c r="G307" s="17" t="str">
        <f t="shared" si="9"/>
        <v/>
      </c>
      <c r="H307" s="10"/>
    </row>
    <row r="308" spans="1:8" x14ac:dyDescent="0.3">
      <c r="A308" s="10"/>
      <c r="B308" s="10"/>
      <c r="C308" s="21"/>
      <c r="D308" s="21"/>
      <c r="E308" s="17" t="str">
        <f t="shared" si="8"/>
        <v/>
      </c>
      <c r="F308" s="21"/>
      <c r="G308" s="17" t="str">
        <f t="shared" si="9"/>
        <v/>
      </c>
      <c r="H308" s="10"/>
    </row>
    <row r="309" spans="1:8" x14ac:dyDescent="0.3">
      <c r="A309" s="10"/>
      <c r="B309" s="10"/>
      <c r="C309" s="21"/>
      <c r="D309" s="21"/>
      <c r="E309" s="17" t="str">
        <f t="shared" si="8"/>
        <v/>
      </c>
      <c r="F309" s="21"/>
      <c r="G309" s="17" t="str">
        <f t="shared" si="9"/>
        <v/>
      </c>
      <c r="H309" s="10"/>
    </row>
    <row r="310" spans="1:8" x14ac:dyDescent="0.3">
      <c r="A310" s="10"/>
      <c r="B310" s="10"/>
      <c r="C310" s="21"/>
      <c r="D310" s="21"/>
      <c r="E310" s="17" t="str">
        <f t="shared" si="8"/>
        <v/>
      </c>
      <c r="F310" s="21"/>
      <c r="G310" s="17" t="str">
        <f t="shared" si="9"/>
        <v/>
      </c>
      <c r="H310" s="10"/>
    </row>
    <row r="311" spans="1:8" x14ac:dyDescent="0.3">
      <c r="A311" s="10"/>
      <c r="B311" s="10"/>
      <c r="C311" s="21"/>
      <c r="D311" s="21"/>
      <c r="E311" s="17" t="str">
        <f t="shared" si="8"/>
        <v/>
      </c>
      <c r="F311" s="21"/>
      <c r="G311" s="17" t="str">
        <f t="shared" si="9"/>
        <v/>
      </c>
      <c r="H311" s="10"/>
    </row>
    <row r="312" spans="1:8" x14ac:dyDescent="0.3">
      <c r="A312" s="10"/>
      <c r="B312" s="10"/>
      <c r="C312" s="21"/>
      <c r="D312" s="21"/>
      <c r="E312" s="17" t="str">
        <f t="shared" si="8"/>
        <v/>
      </c>
      <c r="F312" s="21"/>
      <c r="G312" s="17" t="str">
        <f t="shared" si="9"/>
        <v/>
      </c>
      <c r="H312" s="10"/>
    </row>
    <row r="313" spans="1:8" x14ac:dyDescent="0.3">
      <c r="A313" s="10"/>
      <c r="B313" s="10"/>
      <c r="C313" s="21"/>
      <c r="D313" s="21"/>
      <c r="E313" s="17" t="str">
        <f t="shared" si="8"/>
        <v/>
      </c>
      <c r="F313" s="21"/>
      <c r="G313" s="17" t="str">
        <f t="shared" si="9"/>
        <v/>
      </c>
      <c r="H313" s="10"/>
    </row>
    <row r="314" spans="1:8" x14ac:dyDescent="0.3">
      <c r="A314" s="10"/>
      <c r="B314" s="10"/>
      <c r="C314" s="21"/>
      <c r="D314" s="21"/>
      <c r="E314" s="17" t="str">
        <f t="shared" si="8"/>
        <v/>
      </c>
      <c r="F314" s="21"/>
      <c r="G314" s="17" t="str">
        <f t="shared" si="9"/>
        <v/>
      </c>
      <c r="H314" s="10"/>
    </row>
    <row r="315" spans="1:8" x14ac:dyDescent="0.3">
      <c r="A315" s="10"/>
      <c r="B315" s="10"/>
      <c r="C315" s="21"/>
      <c r="D315" s="21"/>
      <c r="E315" s="17" t="str">
        <f t="shared" si="8"/>
        <v/>
      </c>
      <c r="F315" s="21"/>
      <c r="G315" s="17" t="str">
        <f t="shared" si="9"/>
        <v/>
      </c>
      <c r="H315" s="10"/>
    </row>
    <row r="316" spans="1:8" x14ac:dyDescent="0.3">
      <c r="A316" s="10"/>
      <c r="B316" s="10"/>
      <c r="C316" s="21"/>
      <c r="D316" s="21"/>
      <c r="E316" s="17" t="str">
        <f t="shared" si="8"/>
        <v/>
      </c>
      <c r="F316" s="21"/>
      <c r="G316" s="17" t="str">
        <f t="shared" si="9"/>
        <v/>
      </c>
      <c r="H316" s="10"/>
    </row>
    <row r="317" spans="1:8" x14ac:dyDescent="0.3">
      <c r="A317" s="10"/>
      <c r="B317" s="10"/>
      <c r="C317" s="21"/>
      <c r="D317" s="21"/>
      <c r="E317" s="17" t="str">
        <f t="shared" si="8"/>
        <v/>
      </c>
      <c r="F317" s="21"/>
      <c r="G317" s="17" t="str">
        <f t="shared" si="9"/>
        <v/>
      </c>
      <c r="H317" s="10"/>
    </row>
    <row r="318" spans="1:8" x14ac:dyDescent="0.3">
      <c r="A318" s="10"/>
      <c r="B318" s="10"/>
      <c r="C318" s="21"/>
      <c r="D318" s="21"/>
      <c r="E318" s="17" t="str">
        <f t="shared" si="8"/>
        <v/>
      </c>
      <c r="F318" s="21"/>
      <c r="G318" s="17" t="str">
        <f t="shared" si="9"/>
        <v/>
      </c>
      <c r="H318" s="10"/>
    </row>
    <row r="319" spans="1:8" x14ac:dyDescent="0.3">
      <c r="A319" s="10"/>
      <c r="B319" s="10"/>
      <c r="C319" s="21"/>
      <c r="D319" s="21"/>
      <c r="E319" s="17" t="str">
        <f t="shared" si="8"/>
        <v/>
      </c>
      <c r="F319" s="21"/>
      <c r="G319" s="17" t="str">
        <f t="shared" si="9"/>
        <v/>
      </c>
      <c r="H319" s="10"/>
    </row>
    <row r="320" spans="1:8" x14ac:dyDescent="0.3">
      <c r="A320" s="10"/>
      <c r="B320" s="10"/>
      <c r="C320" s="21"/>
      <c r="D320" s="21"/>
      <c r="E320" s="17" t="str">
        <f t="shared" si="8"/>
        <v/>
      </c>
      <c r="F320" s="21"/>
      <c r="G320" s="17" t="str">
        <f t="shared" si="9"/>
        <v/>
      </c>
      <c r="H320" s="10"/>
    </row>
    <row r="321" spans="1:8" x14ac:dyDescent="0.3">
      <c r="A321" s="10"/>
      <c r="B321" s="10"/>
      <c r="C321" s="21"/>
      <c r="D321" s="21"/>
      <c r="E321" s="17" t="str">
        <f t="shared" si="8"/>
        <v/>
      </c>
      <c r="F321" s="21"/>
      <c r="G321" s="17" t="str">
        <f t="shared" si="9"/>
        <v/>
      </c>
      <c r="H321" s="10"/>
    </row>
    <row r="322" spans="1:8" x14ac:dyDescent="0.3">
      <c r="A322" s="10"/>
      <c r="B322" s="10"/>
      <c r="C322" s="21"/>
      <c r="D322" s="21"/>
      <c r="E322" s="17" t="str">
        <f t="shared" ref="E322:E385" si="10">IF($A322="","",$C322-$D322)</f>
        <v/>
      </c>
      <c r="F322" s="21"/>
      <c r="G322" s="17" t="str">
        <f t="shared" ref="G322:G385" si="11">IF($A322="","",IF($F322="","",IF($C322-$D322&lt;=$F322,"REORDER","OK")))</f>
        <v/>
      </c>
      <c r="H322" s="10"/>
    </row>
    <row r="323" spans="1:8" x14ac:dyDescent="0.3">
      <c r="A323" s="10"/>
      <c r="B323" s="10"/>
      <c r="C323" s="21"/>
      <c r="D323" s="21"/>
      <c r="E323" s="17" t="str">
        <f t="shared" si="10"/>
        <v/>
      </c>
      <c r="F323" s="21"/>
      <c r="G323" s="17" t="str">
        <f t="shared" si="11"/>
        <v/>
      </c>
      <c r="H323" s="10"/>
    </row>
    <row r="324" spans="1:8" x14ac:dyDescent="0.3">
      <c r="A324" s="10"/>
      <c r="B324" s="10"/>
      <c r="C324" s="21"/>
      <c r="D324" s="21"/>
      <c r="E324" s="17" t="str">
        <f t="shared" si="10"/>
        <v/>
      </c>
      <c r="F324" s="21"/>
      <c r="G324" s="17" t="str">
        <f t="shared" si="11"/>
        <v/>
      </c>
      <c r="H324" s="10"/>
    </row>
    <row r="325" spans="1:8" x14ac:dyDescent="0.3">
      <c r="A325" s="10"/>
      <c r="B325" s="10"/>
      <c r="C325" s="21"/>
      <c r="D325" s="21"/>
      <c r="E325" s="17" t="str">
        <f t="shared" si="10"/>
        <v/>
      </c>
      <c r="F325" s="21"/>
      <c r="G325" s="17" t="str">
        <f t="shared" si="11"/>
        <v/>
      </c>
      <c r="H325" s="10"/>
    </row>
    <row r="326" spans="1:8" x14ac:dyDescent="0.3">
      <c r="A326" s="10"/>
      <c r="B326" s="10"/>
      <c r="C326" s="21"/>
      <c r="D326" s="21"/>
      <c r="E326" s="17" t="str">
        <f t="shared" si="10"/>
        <v/>
      </c>
      <c r="F326" s="21"/>
      <c r="G326" s="17" t="str">
        <f t="shared" si="11"/>
        <v/>
      </c>
      <c r="H326" s="10"/>
    </row>
    <row r="327" spans="1:8" x14ac:dyDescent="0.3">
      <c r="A327" s="10"/>
      <c r="B327" s="10"/>
      <c r="C327" s="21"/>
      <c r="D327" s="21"/>
      <c r="E327" s="17" t="str">
        <f t="shared" si="10"/>
        <v/>
      </c>
      <c r="F327" s="21"/>
      <c r="G327" s="17" t="str">
        <f t="shared" si="11"/>
        <v/>
      </c>
      <c r="H327" s="10"/>
    </row>
    <row r="328" spans="1:8" x14ac:dyDescent="0.3">
      <c r="A328" s="10"/>
      <c r="B328" s="10"/>
      <c r="C328" s="21"/>
      <c r="D328" s="21"/>
      <c r="E328" s="17" t="str">
        <f t="shared" si="10"/>
        <v/>
      </c>
      <c r="F328" s="21"/>
      <c r="G328" s="17" t="str">
        <f t="shared" si="11"/>
        <v/>
      </c>
      <c r="H328" s="10"/>
    </row>
    <row r="329" spans="1:8" x14ac:dyDescent="0.3">
      <c r="A329" s="10"/>
      <c r="B329" s="10"/>
      <c r="C329" s="21"/>
      <c r="D329" s="21"/>
      <c r="E329" s="17" t="str">
        <f t="shared" si="10"/>
        <v/>
      </c>
      <c r="F329" s="21"/>
      <c r="G329" s="17" t="str">
        <f t="shared" si="11"/>
        <v/>
      </c>
      <c r="H329" s="10"/>
    </row>
    <row r="330" spans="1:8" x14ac:dyDescent="0.3">
      <c r="A330" s="10"/>
      <c r="B330" s="10"/>
      <c r="C330" s="21"/>
      <c r="D330" s="21"/>
      <c r="E330" s="17" t="str">
        <f t="shared" si="10"/>
        <v/>
      </c>
      <c r="F330" s="21"/>
      <c r="G330" s="17" t="str">
        <f t="shared" si="11"/>
        <v/>
      </c>
      <c r="H330" s="10"/>
    </row>
    <row r="331" spans="1:8" x14ac:dyDescent="0.3">
      <c r="A331" s="10"/>
      <c r="B331" s="10"/>
      <c r="C331" s="21"/>
      <c r="D331" s="21"/>
      <c r="E331" s="17" t="str">
        <f t="shared" si="10"/>
        <v/>
      </c>
      <c r="F331" s="21"/>
      <c r="G331" s="17" t="str">
        <f t="shared" si="11"/>
        <v/>
      </c>
      <c r="H331" s="10"/>
    </row>
    <row r="332" spans="1:8" x14ac:dyDescent="0.3">
      <c r="A332" s="10"/>
      <c r="B332" s="10"/>
      <c r="C332" s="21"/>
      <c r="D332" s="21"/>
      <c r="E332" s="17" t="str">
        <f t="shared" si="10"/>
        <v/>
      </c>
      <c r="F332" s="21"/>
      <c r="G332" s="17" t="str">
        <f t="shared" si="11"/>
        <v/>
      </c>
      <c r="H332" s="10"/>
    </row>
    <row r="333" spans="1:8" x14ac:dyDescent="0.3">
      <c r="A333" s="10"/>
      <c r="B333" s="10"/>
      <c r="C333" s="21"/>
      <c r="D333" s="21"/>
      <c r="E333" s="17" t="str">
        <f t="shared" si="10"/>
        <v/>
      </c>
      <c r="F333" s="21"/>
      <c r="G333" s="17" t="str">
        <f t="shared" si="11"/>
        <v/>
      </c>
      <c r="H333" s="10"/>
    </row>
    <row r="334" spans="1:8" x14ac:dyDescent="0.3">
      <c r="A334" s="10"/>
      <c r="B334" s="10"/>
      <c r="C334" s="21"/>
      <c r="D334" s="21"/>
      <c r="E334" s="17" t="str">
        <f t="shared" si="10"/>
        <v/>
      </c>
      <c r="F334" s="21"/>
      <c r="G334" s="17" t="str">
        <f t="shared" si="11"/>
        <v/>
      </c>
      <c r="H334" s="10"/>
    </row>
    <row r="335" spans="1:8" x14ac:dyDescent="0.3">
      <c r="A335" s="10"/>
      <c r="B335" s="10"/>
      <c r="C335" s="21"/>
      <c r="D335" s="21"/>
      <c r="E335" s="17" t="str">
        <f t="shared" si="10"/>
        <v/>
      </c>
      <c r="F335" s="21"/>
      <c r="G335" s="17" t="str">
        <f t="shared" si="11"/>
        <v/>
      </c>
      <c r="H335" s="10"/>
    </row>
    <row r="336" spans="1:8" x14ac:dyDescent="0.3">
      <c r="A336" s="10"/>
      <c r="B336" s="10"/>
      <c r="C336" s="21"/>
      <c r="D336" s="21"/>
      <c r="E336" s="17" t="str">
        <f t="shared" si="10"/>
        <v/>
      </c>
      <c r="F336" s="21"/>
      <c r="G336" s="17" t="str">
        <f t="shared" si="11"/>
        <v/>
      </c>
      <c r="H336" s="10"/>
    </row>
    <row r="337" spans="1:8" x14ac:dyDescent="0.3">
      <c r="A337" s="10"/>
      <c r="B337" s="10"/>
      <c r="C337" s="21"/>
      <c r="D337" s="21"/>
      <c r="E337" s="17" t="str">
        <f t="shared" si="10"/>
        <v/>
      </c>
      <c r="F337" s="21"/>
      <c r="G337" s="17" t="str">
        <f t="shared" si="11"/>
        <v/>
      </c>
      <c r="H337" s="10"/>
    </row>
    <row r="338" spans="1:8" x14ac:dyDescent="0.3">
      <c r="A338" s="10"/>
      <c r="B338" s="10"/>
      <c r="C338" s="21"/>
      <c r="D338" s="21"/>
      <c r="E338" s="17" t="str">
        <f t="shared" si="10"/>
        <v/>
      </c>
      <c r="F338" s="21"/>
      <c r="G338" s="17" t="str">
        <f t="shared" si="11"/>
        <v/>
      </c>
      <c r="H338" s="10"/>
    </row>
    <row r="339" spans="1:8" x14ac:dyDescent="0.3">
      <c r="A339" s="10"/>
      <c r="B339" s="10"/>
      <c r="C339" s="21"/>
      <c r="D339" s="21"/>
      <c r="E339" s="17" t="str">
        <f t="shared" si="10"/>
        <v/>
      </c>
      <c r="F339" s="21"/>
      <c r="G339" s="17" t="str">
        <f t="shared" si="11"/>
        <v/>
      </c>
      <c r="H339" s="10"/>
    </row>
    <row r="340" spans="1:8" x14ac:dyDescent="0.3">
      <c r="A340" s="10"/>
      <c r="B340" s="10"/>
      <c r="C340" s="21"/>
      <c r="D340" s="21"/>
      <c r="E340" s="17" t="str">
        <f t="shared" si="10"/>
        <v/>
      </c>
      <c r="F340" s="21"/>
      <c r="G340" s="17" t="str">
        <f t="shared" si="11"/>
        <v/>
      </c>
      <c r="H340" s="10"/>
    </row>
    <row r="341" spans="1:8" x14ac:dyDescent="0.3">
      <c r="A341" s="10"/>
      <c r="B341" s="10"/>
      <c r="C341" s="21"/>
      <c r="D341" s="21"/>
      <c r="E341" s="17" t="str">
        <f t="shared" si="10"/>
        <v/>
      </c>
      <c r="F341" s="21"/>
      <c r="G341" s="17" t="str">
        <f t="shared" si="11"/>
        <v/>
      </c>
      <c r="H341" s="10"/>
    </row>
    <row r="342" spans="1:8" x14ac:dyDescent="0.3">
      <c r="A342" s="10"/>
      <c r="B342" s="10"/>
      <c r="C342" s="21"/>
      <c r="D342" s="21"/>
      <c r="E342" s="17" t="str">
        <f t="shared" si="10"/>
        <v/>
      </c>
      <c r="F342" s="21"/>
      <c r="G342" s="17" t="str">
        <f t="shared" si="11"/>
        <v/>
      </c>
      <c r="H342" s="10"/>
    </row>
    <row r="343" spans="1:8" x14ac:dyDescent="0.3">
      <c r="A343" s="10"/>
      <c r="B343" s="10"/>
      <c r="C343" s="21"/>
      <c r="D343" s="21"/>
      <c r="E343" s="17" t="str">
        <f t="shared" si="10"/>
        <v/>
      </c>
      <c r="F343" s="21"/>
      <c r="G343" s="17" t="str">
        <f t="shared" si="11"/>
        <v/>
      </c>
      <c r="H343" s="10"/>
    </row>
    <row r="344" spans="1:8" x14ac:dyDescent="0.3">
      <c r="A344" s="10"/>
      <c r="B344" s="10"/>
      <c r="C344" s="21"/>
      <c r="D344" s="21"/>
      <c r="E344" s="17" t="str">
        <f t="shared" si="10"/>
        <v/>
      </c>
      <c r="F344" s="21"/>
      <c r="G344" s="17" t="str">
        <f t="shared" si="11"/>
        <v/>
      </c>
      <c r="H344" s="10"/>
    </row>
    <row r="345" spans="1:8" x14ac:dyDescent="0.3">
      <c r="A345" s="10"/>
      <c r="B345" s="10"/>
      <c r="C345" s="21"/>
      <c r="D345" s="21"/>
      <c r="E345" s="17" t="str">
        <f t="shared" si="10"/>
        <v/>
      </c>
      <c r="F345" s="21"/>
      <c r="G345" s="17" t="str">
        <f t="shared" si="11"/>
        <v/>
      </c>
      <c r="H345" s="10"/>
    </row>
    <row r="346" spans="1:8" x14ac:dyDescent="0.3">
      <c r="A346" s="10"/>
      <c r="B346" s="10"/>
      <c r="C346" s="21"/>
      <c r="D346" s="21"/>
      <c r="E346" s="17" t="str">
        <f t="shared" si="10"/>
        <v/>
      </c>
      <c r="F346" s="21"/>
      <c r="G346" s="17" t="str">
        <f t="shared" si="11"/>
        <v/>
      </c>
      <c r="H346" s="10"/>
    </row>
    <row r="347" spans="1:8" x14ac:dyDescent="0.3">
      <c r="A347" s="10"/>
      <c r="B347" s="10"/>
      <c r="C347" s="21"/>
      <c r="D347" s="21"/>
      <c r="E347" s="17" t="str">
        <f t="shared" si="10"/>
        <v/>
      </c>
      <c r="F347" s="21"/>
      <c r="G347" s="17" t="str">
        <f t="shared" si="11"/>
        <v/>
      </c>
      <c r="H347" s="10"/>
    </row>
    <row r="348" spans="1:8" x14ac:dyDescent="0.3">
      <c r="A348" s="10"/>
      <c r="B348" s="10"/>
      <c r="C348" s="21"/>
      <c r="D348" s="21"/>
      <c r="E348" s="17" t="str">
        <f t="shared" si="10"/>
        <v/>
      </c>
      <c r="F348" s="21"/>
      <c r="G348" s="17" t="str">
        <f t="shared" si="11"/>
        <v/>
      </c>
      <c r="H348" s="10"/>
    </row>
    <row r="349" spans="1:8" x14ac:dyDescent="0.3">
      <c r="A349" s="10"/>
      <c r="B349" s="10"/>
      <c r="C349" s="21"/>
      <c r="D349" s="21"/>
      <c r="E349" s="17" t="str">
        <f t="shared" si="10"/>
        <v/>
      </c>
      <c r="F349" s="21"/>
      <c r="G349" s="17" t="str">
        <f t="shared" si="11"/>
        <v/>
      </c>
      <c r="H349" s="10"/>
    </row>
    <row r="350" spans="1:8" x14ac:dyDescent="0.3">
      <c r="A350" s="10"/>
      <c r="B350" s="10"/>
      <c r="C350" s="21"/>
      <c r="D350" s="21"/>
      <c r="E350" s="17" t="str">
        <f t="shared" si="10"/>
        <v/>
      </c>
      <c r="F350" s="21"/>
      <c r="G350" s="17" t="str">
        <f t="shared" si="11"/>
        <v/>
      </c>
      <c r="H350" s="10"/>
    </row>
    <row r="351" spans="1:8" x14ac:dyDescent="0.3">
      <c r="A351" s="10"/>
      <c r="B351" s="10"/>
      <c r="C351" s="21"/>
      <c r="D351" s="21"/>
      <c r="E351" s="17" t="str">
        <f t="shared" si="10"/>
        <v/>
      </c>
      <c r="F351" s="21"/>
      <c r="G351" s="17" t="str">
        <f t="shared" si="11"/>
        <v/>
      </c>
      <c r="H351" s="10"/>
    </row>
    <row r="352" spans="1:8" x14ac:dyDescent="0.3">
      <c r="A352" s="10"/>
      <c r="B352" s="10"/>
      <c r="C352" s="21"/>
      <c r="D352" s="21"/>
      <c r="E352" s="17" t="str">
        <f t="shared" si="10"/>
        <v/>
      </c>
      <c r="F352" s="21"/>
      <c r="G352" s="17" t="str">
        <f t="shared" si="11"/>
        <v/>
      </c>
      <c r="H352" s="10"/>
    </row>
    <row r="353" spans="1:8" x14ac:dyDescent="0.3">
      <c r="A353" s="10"/>
      <c r="B353" s="10"/>
      <c r="C353" s="21"/>
      <c r="D353" s="21"/>
      <c r="E353" s="17" t="str">
        <f t="shared" si="10"/>
        <v/>
      </c>
      <c r="F353" s="21"/>
      <c r="G353" s="17" t="str">
        <f t="shared" si="11"/>
        <v/>
      </c>
      <c r="H353" s="10"/>
    </row>
    <row r="354" spans="1:8" x14ac:dyDescent="0.3">
      <c r="A354" s="10"/>
      <c r="B354" s="10"/>
      <c r="C354" s="21"/>
      <c r="D354" s="21"/>
      <c r="E354" s="17" t="str">
        <f t="shared" si="10"/>
        <v/>
      </c>
      <c r="F354" s="21"/>
      <c r="G354" s="17" t="str">
        <f t="shared" si="11"/>
        <v/>
      </c>
      <c r="H354" s="10"/>
    </row>
    <row r="355" spans="1:8" x14ac:dyDescent="0.3">
      <c r="A355" s="10"/>
      <c r="B355" s="10"/>
      <c r="C355" s="21"/>
      <c r="D355" s="21"/>
      <c r="E355" s="17" t="str">
        <f t="shared" si="10"/>
        <v/>
      </c>
      <c r="F355" s="21"/>
      <c r="G355" s="17" t="str">
        <f t="shared" si="11"/>
        <v/>
      </c>
      <c r="H355" s="10"/>
    </row>
    <row r="356" spans="1:8" x14ac:dyDescent="0.3">
      <c r="A356" s="10"/>
      <c r="B356" s="10"/>
      <c r="C356" s="21"/>
      <c r="D356" s="21"/>
      <c r="E356" s="17" t="str">
        <f t="shared" si="10"/>
        <v/>
      </c>
      <c r="F356" s="21"/>
      <c r="G356" s="17" t="str">
        <f t="shared" si="11"/>
        <v/>
      </c>
      <c r="H356" s="10"/>
    </row>
    <row r="357" spans="1:8" x14ac:dyDescent="0.3">
      <c r="A357" s="10"/>
      <c r="B357" s="10"/>
      <c r="C357" s="21"/>
      <c r="D357" s="21"/>
      <c r="E357" s="17" t="str">
        <f t="shared" si="10"/>
        <v/>
      </c>
      <c r="F357" s="21"/>
      <c r="G357" s="17" t="str">
        <f t="shared" si="11"/>
        <v/>
      </c>
      <c r="H357" s="10"/>
    </row>
    <row r="358" spans="1:8" x14ac:dyDescent="0.3">
      <c r="A358" s="10"/>
      <c r="B358" s="10"/>
      <c r="C358" s="21"/>
      <c r="D358" s="21"/>
      <c r="E358" s="17" t="str">
        <f t="shared" si="10"/>
        <v/>
      </c>
      <c r="F358" s="21"/>
      <c r="G358" s="17" t="str">
        <f t="shared" si="11"/>
        <v/>
      </c>
      <c r="H358" s="10"/>
    </row>
    <row r="359" spans="1:8" x14ac:dyDescent="0.3">
      <c r="A359" s="10"/>
      <c r="B359" s="10"/>
      <c r="C359" s="21"/>
      <c r="D359" s="21"/>
      <c r="E359" s="17" t="str">
        <f t="shared" si="10"/>
        <v/>
      </c>
      <c r="F359" s="21"/>
      <c r="G359" s="17" t="str">
        <f t="shared" si="11"/>
        <v/>
      </c>
      <c r="H359" s="10"/>
    </row>
    <row r="360" spans="1:8" x14ac:dyDescent="0.3">
      <c r="A360" s="10"/>
      <c r="B360" s="10"/>
      <c r="C360" s="21"/>
      <c r="D360" s="21"/>
      <c r="E360" s="17" t="str">
        <f t="shared" si="10"/>
        <v/>
      </c>
      <c r="F360" s="21"/>
      <c r="G360" s="17" t="str">
        <f t="shared" si="11"/>
        <v/>
      </c>
      <c r="H360" s="10"/>
    </row>
    <row r="361" spans="1:8" x14ac:dyDescent="0.3">
      <c r="A361" s="10"/>
      <c r="B361" s="10"/>
      <c r="C361" s="21"/>
      <c r="D361" s="21"/>
      <c r="E361" s="17" t="str">
        <f t="shared" si="10"/>
        <v/>
      </c>
      <c r="F361" s="21"/>
      <c r="G361" s="17" t="str">
        <f t="shared" si="11"/>
        <v/>
      </c>
      <c r="H361" s="10"/>
    </row>
    <row r="362" spans="1:8" x14ac:dyDescent="0.3">
      <c r="A362" s="10"/>
      <c r="B362" s="10"/>
      <c r="C362" s="21"/>
      <c r="D362" s="21"/>
      <c r="E362" s="17" t="str">
        <f t="shared" si="10"/>
        <v/>
      </c>
      <c r="F362" s="21"/>
      <c r="G362" s="17" t="str">
        <f t="shared" si="11"/>
        <v/>
      </c>
      <c r="H362" s="10"/>
    </row>
    <row r="363" spans="1:8" x14ac:dyDescent="0.3">
      <c r="A363" s="10"/>
      <c r="B363" s="10"/>
      <c r="C363" s="21"/>
      <c r="D363" s="21"/>
      <c r="E363" s="17" t="str">
        <f t="shared" si="10"/>
        <v/>
      </c>
      <c r="F363" s="21"/>
      <c r="G363" s="17" t="str">
        <f t="shared" si="11"/>
        <v/>
      </c>
      <c r="H363" s="10"/>
    </row>
    <row r="364" spans="1:8" x14ac:dyDescent="0.3">
      <c r="A364" s="10"/>
      <c r="B364" s="10"/>
      <c r="C364" s="21"/>
      <c r="D364" s="21"/>
      <c r="E364" s="17" t="str">
        <f t="shared" si="10"/>
        <v/>
      </c>
      <c r="F364" s="21"/>
      <c r="G364" s="17" t="str">
        <f t="shared" si="11"/>
        <v/>
      </c>
      <c r="H364" s="10"/>
    </row>
    <row r="365" spans="1:8" x14ac:dyDescent="0.3">
      <c r="A365" s="10"/>
      <c r="B365" s="10"/>
      <c r="C365" s="21"/>
      <c r="D365" s="21"/>
      <c r="E365" s="17" t="str">
        <f t="shared" si="10"/>
        <v/>
      </c>
      <c r="F365" s="21"/>
      <c r="G365" s="17" t="str">
        <f t="shared" si="11"/>
        <v/>
      </c>
      <c r="H365" s="10"/>
    </row>
    <row r="366" spans="1:8" x14ac:dyDescent="0.3">
      <c r="A366" s="10"/>
      <c r="B366" s="10"/>
      <c r="C366" s="21"/>
      <c r="D366" s="21"/>
      <c r="E366" s="17" t="str">
        <f t="shared" si="10"/>
        <v/>
      </c>
      <c r="F366" s="21"/>
      <c r="G366" s="17" t="str">
        <f t="shared" si="11"/>
        <v/>
      </c>
      <c r="H366" s="10"/>
    </row>
    <row r="367" spans="1:8" x14ac:dyDescent="0.3">
      <c r="A367" s="10"/>
      <c r="B367" s="10"/>
      <c r="C367" s="21"/>
      <c r="D367" s="21"/>
      <c r="E367" s="17" t="str">
        <f t="shared" si="10"/>
        <v/>
      </c>
      <c r="F367" s="21"/>
      <c r="G367" s="17" t="str">
        <f t="shared" si="11"/>
        <v/>
      </c>
      <c r="H367" s="10"/>
    </row>
    <row r="368" spans="1:8" x14ac:dyDescent="0.3">
      <c r="A368" s="10"/>
      <c r="B368" s="10"/>
      <c r="C368" s="21"/>
      <c r="D368" s="21"/>
      <c r="E368" s="17" t="str">
        <f t="shared" si="10"/>
        <v/>
      </c>
      <c r="F368" s="21"/>
      <c r="G368" s="17" t="str">
        <f t="shared" si="11"/>
        <v/>
      </c>
      <c r="H368" s="10"/>
    </row>
    <row r="369" spans="1:8" x14ac:dyDescent="0.3">
      <c r="A369" s="10"/>
      <c r="B369" s="10"/>
      <c r="C369" s="21"/>
      <c r="D369" s="21"/>
      <c r="E369" s="17" t="str">
        <f t="shared" si="10"/>
        <v/>
      </c>
      <c r="F369" s="21"/>
      <c r="G369" s="17" t="str">
        <f t="shared" si="11"/>
        <v/>
      </c>
      <c r="H369" s="10"/>
    </row>
    <row r="370" spans="1:8" x14ac:dyDescent="0.3">
      <c r="A370" s="10"/>
      <c r="B370" s="10"/>
      <c r="C370" s="21"/>
      <c r="D370" s="21"/>
      <c r="E370" s="17" t="str">
        <f t="shared" si="10"/>
        <v/>
      </c>
      <c r="F370" s="21"/>
      <c r="G370" s="17" t="str">
        <f t="shared" si="11"/>
        <v/>
      </c>
      <c r="H370" s="10"/>
    </row>
    <row r="371" spans="1:8" x14ac:dyDescent="0.3">
      <c r="A371" s="10"/>
      <c r="B371" s="10"/>
      <c r="C371" s="21"/>
      <c r="D371" s="21"/>
      <c r="E371" s="17" t="str">
        <f t="shared" si="10"/>
        <v/>
      </c>
      <c r="F371" s="21"/>
      <c r="G371" s="17" t="str">
        <f t="shared" si="11"/>
        <v/>
      </c>
      <c r="H371" s="10"/>
    </row>
    <row r="372" spans="1:8" x14ac:dyDescent="0.3">
      <c r="A372" s="10"/>
      <c r="B372" s="10"/>
      <c r="C372" s="21"/>
      <c r="D372" s="21"/>
      <c r="E372" s="17" t="str">
        <f t="shared" si="10"/>
        <v/>
      </c>
      <c r="F372" s="21"/>
      <c r="G372" s="17" t="str">
        <f t="shared" si="11"/>
        <v/>
      </c>
      <c r="H372" s="10"/>
    </row>
    <row r="373" spans="1:8" x14ac:dyDescent="0.3">
      <c r="A373" s="10"/>
      <c r="B373" s="10"/>
      <c r="C373" s="21"/>
      <c r="D373" s="21"/>
      <c r="E373" s="17" t="str">
        <f t="shared" si="10"/>
        <v/>
      </c>
      <c r="F373" s="21"/>
      <c r="G373" s="17" t="str">
        <f t="shared" si="11"/>
        <v/>
      </c>
      <c r="H373" s="10"/>
    </row>
    <row r="374" spans="1:8" x14ac:dyDescent="0.3">
      <c r="A374" s="10"/>
      <c r="B374" s="10"/>
      <c r="C374" s="21"/>
      <c r="D374" s="21"/>
      <c r="E374" s="17" t="str">
        <f t="shared" si="10"/>
        <v/>
      </c>
      <c r="F374" s="21"/>
      <c r="G374" s="17" t="str">
        <f t="shared" si="11"/>
        <v/>
      </c>
      <c r="H374" s="10"/>
    </row>
    <row r="375" spans="1:8" x14ac:dyDescent="0.3">
      <c r="A375" s="10"/>
      <c r="B375" s="10"/>
      <c r="C375" s="21"/>
      <c r="D375" s="21"/>
      <c r="E375" s="17" t="str">
        <f t="shared" si="10"/>
        <v/>
      </c>
      <c r="F375" s="21"/>
      <c r="G375" s="17" t="str">
        <f t="shared" si="11"/>
        <v/>
      </c>
      <c r="H375" s="10"/>
    </row>
    <row r="376" spans="1:8" x14ac:dyDescent="0.3">
      <c r="A376" s="10"/>
      <c r="B376" s="10"/>
      <c r="C376" s="21"/>
      <c r="D376" s="21"/>
      <c r="E376" s="17" t="str">
        <f t="shared" si="10"/>
        <v/>
      </c>
      <c r="F376" s="21"/>
      <c r="G376" s="17" t="str">
        <f t="shared" si="11"/>
        <v/>
      </c>
      <c r="H376" s="10"/>
    </row>
    <row r="377" spans="1:8" x14ac:dyDescent="0.3">
      <c r="A377" s="10"/>
      <c r="B377" s="10"/>
      <c r="C377" s="21"/>
      <c r="D377" s="21"/>
      <c r="E377" s="17" t="str">
        <f t="shared" si="10"/>
        <v/>
      </c>
      <c r="F377" s="21"/>
      <c r="G377" s="17" t="str">
        <f t="shared" si="11"/>
        <v/>
      </c>
      <c r="H377" s="10"/>
    </row>
    <row r="378" spans="1:8" x14ac:dyDescent="0.3">
      <c r="A378" s="10"/>
      <c r="B378" s="10"/>
      <c r="C378" s="21"/>
      <c r="D378" s="21"/>
      <c r="E378" s="17" t="str">
        <f t="shared" si="10"/>
        <v/>
      </c>
      <c r="F378" s="21"/>
      <c r="G378" s="17" t="str">
        <f t="shared" si="11"/>
        <v/>
      </c>
      <c r="H378" s="10"/>
    </row>
    <row r="379" spans="1:8" x14ac:dyDescent="0.3">
      <c r="A379" s="10"/>
      <c r="B379" s="10"/>
      <c r="C379" s="21"/>
      <c r="D379" s="21"/>
      <c r="E379" s="17" t="str">
        <f t="shared" si="10"/>
        <v/>
      </c>
      <c r="F379" s="21"/>
      <c r="G379" s="17" t="str">
        <f t="shared" si="11"/>
        <v/>
      </c>
      <c r="H379" s="10"/>
    </row>
    <row r="380" spans="1:8" x14ac:dyDescent="0.3">
      <c r="A380" s="10"/>
      <c r="B380" s="10"/>
      <c r="C380" s="21"/>
      <c r="D380" s="21"/>
      <c r="E380" s="17" t="str">
        <f t="shared" si="10"/>
        <v/>
      </c>
      <c r="F380" s="21"/>
      <c r="G380" s="17" t="str">
        <f t="shared" si="11"/>
        <v/>
      </c>
      <c r="H380" s="10"/>
    </row>
    <row r="381" spans="1:8" x14ac:dyDescent="0.3">
      <c r="A381" s="10"/>
      <c r="B381" s="10"/>
      <c r="C381" s="21"/>
      <c r="D381" s="21"/>
      <c r="E381" s="17" t="str">
        <f t="shared" si="10"/>
        <v/>
      </c>
      <c r="F381" s="21"/>
      <c r="G381" s="17" t="str">
        <f t="shared" si="11"/>
        <v/>
      </c>
      <c r="H381" s="10"/>
    </row>
    <row r="382" spans="1:8" x14ac:dyDescent="0.3">
      <c r="A382" s="10"/>
      <c r="B382" s="10"/>
      <c r="C382" s="21"/>
      <c r="D382" s="21"/>
      <c r="E382" s="17" t="str">
        <f t="shared" si="10"/>
        <v/>
      </c>
      <c r="F382" s="21"/>
      <c r="G382" s="17" t="str">
        <f t="shared" si="11"/>
        <v/>
      </c>
      <c r="H382" s="10"/>
    </row>
    <row r="383" spans="1:8" x14ac:dyDescent="0.3">
      <c r="A383" s="10"/>
      <c r="B383" s="10"/>
      <c r="C383" s="21"/>
      <c r="D383" s="21"/>
      <c r="E383" s="17" t="str">
        <f t="shared" si="10"/>
        <v/>
      </c>
      <c r="F383" s="21"/>
      <c r="G383" s="17" t="str">
        <f t="shared" si="11"/>
        <v/>
      </c>
      <c r="H383" s="10"/>
    </row>
    <row r="384" spans="1:8" x14ac:dyDescent="0.3">
      <c r="A384" s="10"/>
      <c r="B384" s="10"/>
      <c r="C384" s="21"/>
      <c r="D384" s="21"/>
      <c r="E384" s="17" t="str">
        <f t="shared" si="10"/>
        <v/>
      </c>
      <c r="F384" s="21"/>
      <c r="G384" s="17" t="str">
        <f t="shared" si="11"/>
        <v/>
      </c>
      <c r="H384" s="10"/>
    </row>
    <row r="385" spans="1:8" x14ac:dyDescent="0.3">
      <c r="A385" s="10"/>
      <c r="B385" s="10"/>
      <c r="C385" s="21"/>
      <c r="D385" s="21"/>
      <c r="E385" s="17" t="str">
        <f t="shared" si="10"/>
        <v/>
      </c>
      <c r="F385" s="21"/>
      <c r="G385" s="17" t="str">
        <f t="shared" si="11"/>
        <v/>
      </c>
      <c r="H385" s="10"/>
    </row>
    <row r="386" spans="1:8" x14ac:dyDescent="0.3">
      <c r="A386" s="10"/>
      <c r="B386" s="10"/>
      <c r="C386" s="21"/>
      <c r="D386" s="21"/>
      <c r="E386" s="17" t="str">
        <f t="shared" ref="E386:E449" si="12">IF($A386="","",$C386-$D386)</f>
        <v/>
      </c>
      <c r="F386" s="21"/>
      <c r="G386" s="17" t="str">
        <f t="shared" ref="G386:G449" si="13">IF($A386="","",IF($F386="","",IF($C386-$D386&lt;=$F386,"REORDER","OK")))</f>
        <v/>
      </c>
      <c r="H386" s="10"/>
    </row>
    <row r="387" spans="1:8" x14ac:dyDescent="0.3">
      <c r="A387" s="10"/>
      <c r="B387" s="10"/>
      <c r="C387" s="21"/>
      <c r="D387" s="21"/>
      <c r="E387" s="17" t="str">
        <f t="shared" si="12"/>
        <v/>
      </c>
      <c r="F387" s="21"/>
      <c r="G387" s="17" t="str">
        <f t="shared" si="13"/>
        <v/>
      </c>
      <c r="H387" s="10"/>
    </row>
    <row r="388" spans="1:8" x14ac:dyDescent="0.3">
      <c r="A388" s="10"/>
      <c r="B388" s="10"/>
      <c r="C388" s="21"/>
      <c r="D388" s="21"/>
      <c r="E388" s="17" t="str">
        <f t="shared" si="12"/>
        <v/>
      </c>
      <c r="F388" s="21"/>
      <c r="G388" s="17" t="str">
        <f t="shared" si="13"/>
        <v/>
      </c>
      <c r="H388" s="10"/>
    </row>
    <row r="389" spans="1:8" x14ac:dyDescent="0.3">
      <c r="A389" s="10"/>
      <c r="B389" s="10"/>
      <c r="C389" s="21"/>
      <c r="D389" s="21"/>
      <c r="E389" s="17" t="str">
        <f t="shared" si="12"/>
        <v/>
      </c>
      <c r="F389" s="21"/>
      <c r="G389" s="17" t="str">
        <f t="shared" si="13"/>
        <v/>
      </c>
      <c r="H389" s="10"/>
    </row>
    <row r="390" spans="1:8" x14ac:dyDescent="0.3">
      <c r="A390" s="10"/>
      <c r="B390" s="10"/>
      <c r="C390" s="21"/>
      <c r="D390" s="21"/>
      <c r="E390" s="17" t="str">
        <f t="shared" si="12"/>
        <v/>
      </c>
      <c r="F390" s="21"/>
      <c r="G390" s="17" t="str">
        <f t="shared" si="13"/>
        <v/>
      </c>
      <c r="H390" s="10"/>
    </row>
    <row r="391" spans="1:8" x14ac:dyDescent="0.3">
      <c r="A391" s="10"/>
      <c r="B391" s="10"/>
      <c r="C391" s="21"/>
      <c r="D391" s="21"/>
      <c r="E391" s="17" t="str">
        <f t="shared" si="12"/>
        <v/>
      </c>
      <c r="F391" s="21"/>
      <c r="G391" s="17" t="str">
        <f t="shared" si="13"/>
        <v/>
      </c>
      <c r="H391" s="10"/>
    </row>
    <row r="392" spans="1:8" x14ac:dyDescent="0.3">
      <c r="A392" s="10"/>
      <c r="B392" s="10"/>
      <c r="C392" s="21"/>
      <c r="D392" s="21"/>
      <c r="E392" s="17" t="str">
        <f t="shared" si="12"/>
        <v/>
      </c>
      <c r="F392" s="21"/>
      <c r="G392" s="17" t="str">
        <f t="shared" si="13"/>
        <v/>
      </c>
      <c r="H392" s="10"/>
    </row>
    <row r="393" spans="1:8" x14ac:dyDescent="0.3">
      <c r="A393" s="10"/>
      <c r="B393" s="10"/>
      <c r="C393" s="21"/>
      <c r="D393" s="21"/>
      <c r="E393" s="17" t="str">
        <f t="shared" si="12"/>
        <v/>
      </c>
      <c r="F393" s="21"/>
      <c r="G393" s="17" t="str">
        <f t="shared" si="13"/>
        <v/>
      </c>
      <c r="H393" s="10"/>
    </row>
    <row r="394" spans="1:8" x14ac:dyDescent="0.3">
      <c r="A394" s="10"/>
      <c r="B394" s="10"/>
      <c r="C394" s="21"/>
      <c r="D394" s="21"/>
      <c r="E394" s="17" t="str">
        <f t="shared" si="12"/>
        <v/>
      </c>
      <c r="F394" s="21"/>
      <c r="G394" s="17" t="str">
        <f t="shared" si="13"/>
        <v/>
      </c>
      <c r="H394" s="10"/>
    </row>
    <row r="395" spans="1:8" x14ac:dyDescent="0.3">
      <c r="A395" s="10"/>
      <c r="B395" s="10"/>
      <c r="C395" s="21"/>
      <c r="D395" s="21"/>
      <c r="E395" s="17" t="str">
        <f t="shared" si="12"/>
        <v/>
      </c>
      <c r="F395" s="21"/>
      <c r="G395" s="17" t="str">
        <f t="shared" si="13"/>
        <v/>
      </c>
      <c r="H395" s="10"/>
    </row>
    <row r="396" spans="1:8" x14ac:dyDescent="0.3">
      <c r="A396" s="10"/>
      <c r="B396" s="10"/>
      <c r="C396" s="21"/>
      <c r="D396" s="21"/>
      <c r="E396" s="17" t="str">
        <f t="shared" si="12"/>
        <v/>
      </c>
      <c r="F396" s="21"/>
      <c r="G396" s="17" t="str">
        <f t="shared" si="13"/>
        <v/>
      </c>
      <c r="H396" s="10"/>
    </row>
    <row r="397" spans="1:8" x14ac:dyDescent="0.3">
      <c r="A397" s="10"/>
      <c r="B397" s="10"/>
      <c r="C397" s="21"/>
      <c r="D397" s="21"/>
      <c r="E397" s="17" t="str">
        <f t="shared" si="12"/>
        <v/>
      </c>
      <c r="F397" s="21"/>
      <c r="G397" s="17" t="str">
        <f t="shared" si="13"/>
        <v/>
      </c>
      <c r="H397" s="10"/>
    </row>
    <row r="398" spans="1:8" x14ac:dyDescent="0.3">
      <c r="A398" s="10"/>
      <c r="B398" s="10"/>
      <c r="C398" s="21"/>
      <c r="D398" s="21"/>
      <c r="E398" s="17" t="str">
        <f t="shared" si="12"/>
        <v/>
      </c>
      <c r="F398" s="21"/>
      <c r="G398" s="17" t="str">
        <f t="shared" si="13"/>
        <v/>
      </c>
      <c r="H398" s="10"/>
    </row>
    <row r="399" spans="1:8" x14ac:dyDescent="0.3">
      <c r="A399" s="10"/>
      <c r="B399" s="10"/>
      <c r="C399" s="21"/>
      <c r="D399" s="21"/>
      <c r="E399" s="17" t="str">
        <f t="shared" si="12"/>
        <v/>
      </c>
      <c r="F399" s="21"/>
      <c r="G399" s="17" t="str">
        <f t="shared" si="13"/>
        <v/>
      </c>
      <c r="H399" s="10"/>
    </row>
    <row r="400" spans="1:8" x14ac:dyDescent="0.3">
      <c r="A400" s="10"/>
      <c r="B400" s="10"/>
      <c r="C400" s="21"/>
      <c r="D400" s="21"/>
      <c r="E400" s="17" t="str">
        <f t="shared" si="12"/>
        <v/>
      </c>
      <c r="F400" s="21"/>
      <c r="G400" s="17" t="str">
        <f t="shared" si="13"/>
        <v/>
      </c>
      <c r="H400" s="10"/>
    </row>
    <row r="401" spans="1:8" x14ac:dyDescent="0.3">
      <c r="A401" s="10"/>
      <c r="B401" s="10"/>
      <c r="C401" s="21"/>
      <c r="D401" s="21"/>
      <c r="E401" s="17" t="str">
        <f t="shared" si="12"/>
        <v/>
      </c>
      <c r="F401" s="21"/>
      <c r="G401" s="17" t="str">
        <f t="shared" si="13"/>
        <v/>
      </c>
      <c r="H401" s="10"/>
    </row>
    <row r="402" spans="1:8" x14ac:dyDescent="0.3">
      <c r="A402" s="10"/>
      <c r="B402" s="10"/>
      <c r="C402" s="21"/>
      <c r="D402" s="21"/>
      <c r="E402" s="17" t="str">
        <f t="shared" si="12"/>
        <v/>
      </c>
      <c r="F402" s="21"/>
      <c r="G402" s="17" t="str">
        <f t="shared" si="13"/>
        <v/>
      </c>
      <c r="H402" s="10"/>
    </row>
    <row r="403" spans="1:8" x14ac:dyDescent="0.3">
      <c r="A403" s="10"/>
      <c r="B403" s="10"/>
      <c r="C403" s="21"/>
      <c r="D403" s="21"/>
      <c r="E403" s="17" t="str">
        <f t="shared" si="12"/>
        <v/>
      </c>
      <c r="F403" s="21"/>
      <c r="G403" s="17" t="str">
        <f t="shared" si="13"/>
        <v/>
      </c>
      <c r="H403" s="10"/>
    </row>
    <row r="404" spans="1:8" x14ac:dyDescent="0.3">
      <c r="A404" s="10"/>
      <c r="B404" s="10"/>
      <c r="C404" s="21"/>
      <c r="D404" s="21"/>
      <c r="E404" s="17" t="str">
        <f t="shared" si="12"/>
        <v/>
      </c>
      <c r="F404" s="21"/>
      <c r="G404" s="17" t="str">
        <f t="shared" si="13"/>
        <v/>
      </c>
      <c r="H404" s="10"/>
    </row>
    <row r="405" spans="1:8" x14ac:dyDescent="0.3">
      <c r="A405" s="10"/>
      <c r="B405" s="10"/>
      <c r="C405" s="21"/>
      <c r="D405" s="21"/>
      <c r="E405" s="17" t="str">
        <f t="shared" si="12"/>
        <v/>
      </c>
      <c r="F405" s="21"/>
      <c r="G405" s="17" t="str">
        <f t="shared" si="13"/>
        <v/>
      </c>
      <c r="H405" s="10"/>
    </row>
    <row r="406" spans="1:8" x14ac:dyDescent="0.3">
      <c r="A406" s="10"/>
      <c r="B406" s="10"/>
      <c r="C406" s="21"/>
      <c r="D406" s="21"/>
      <c r="E406" s="17" t="str">
        <f t="shared" si="12"/>
        <v/>
      </c>
      <c r="F406" s="21"/>
      <c r="G406" s="17" t="str">
        <f t="shared" si="13"/>
        <v/>
      </c>
      <c r="H406" s="10"/>
    </row>
    <row r="407" spans="1:8" x14ac:dyDescent="0.3">
      <c r="A407" s="10"/>
      <c r="B407" s="10"/>
      <c r="C407" s="21"/>
      <c r="D407" s="21"/>
      <c r="E407" s="17" t="str">
        <f t="shared" si="12"/>
        <v/>
      </c>
      <c r="F407" s="21"/>
      <c r="G407" s="17" t="str">
        <f t="shared" si="13"/>
        <v/>
      </c>
      <c r="H407" s="10"/>
    </row>
    <row r="408" spans="1:8" x14ac:dyDescent="0.3">
      <c r="A408" s="10"/>
      <c r="B408" s="10"/>
      <c r="C408" s="21"/>
      <c r="D408" s="21"/>
      <c r="E408" s="17" t="str">
        <f t="shared" si="12"/>
        <v/>
      </c>
      <c r="F408" s="21"/>
      <c r="G408" s="17" t="str">
        <f t="shared" si="13"/>
        <v/>
      </c>
      <c r="H408" s="10"/>
    </row>
    <row r="409" spans="1:8" x14ac:dyDescent="0.3">
      <c r="A409" s="10"/>
      <c r="B409" s="10"/>
      <c r="C409" s="21"/>
      <c r="D409" s="21"/>
      <c r="E409" s="17" t="str">
        <f t="shared" si="12"/>
        <v/>
      </c>
      <c r="F409" s="21"/>
      <c r="G409" s="17" t="str">
        <f t="shared" si="13"/>
        <v/>
      </c>
      <c r="H409" s="10"/>
    </row>
    <row r="410" spans="1:8" x14ac:dyDescent="0.3">
      <c r="A410" s="10"/>
      <c r="B410" s="10"/>
      <c r="C410" s="21"/>
      <c r="D410" s="21"/>
      <c r="E410" s="17" t="str">
        <f t="shared" si="12"/>
        <v/>
      </c>
      <c r="F410" s="21"/>
      <c r="G410" s="17" t="str">
        <f t="shared" si="13"/>
        <v/>
      </c>
      <c r="H410" s="10"/>
    </row>
    <row r="411" spans="1:8" x14ac:dyDescent="0.3">
      <c r="A411" s="10"/>
      <c r="B411" s="10"/>
      <c r="C411" s="21"/>
      <c r="D411" s="21"/>
      <c r="E411" s="17" t="str">
        <f t="shared" si="12"/>
        <v/>
      </c>
      <c r="F411" s="21"/>
      <c r="G411" s="17" t="str">
        <f t="shared" si="13"/>
        <v/>
      </c>
      <c r="H411" s="10"/>
    </row>
    <row r="412" spans="1:8" x14ac:dyDescent="0.3">
      <c r="A412" s="10"/>
      <c r="B412" s="10"/>
      <c r="C412" s="21"/>
      <c r="D412" s="21"/>
      <c r="E412" s="17" t="str">
        <f t="shared" si="12"/>
        <v/>
      </c>
      <c r="F412" s="21"/>
      <c r="G412" s="17" t="str">
        <f t="shared" si="13"/>
        <v/>
      </c>
      <c r="H412" s="10"/>
    </row>
    <row r="413" spans="1:8" x14ac:dyDescent="0.3">
      <c r="A413" s="10"/>
      <c r="B413" s="10"/>
      <c r="C413" s="21"/>
      <c r="D413" s="21"/>
      <c r="E413" s="17" t="str">
        <f t="shared" si="12"/>
        <v/>
      </c>
      <c r="F413" s="21"/>
      <c r="G413" s="17" t="str">
        <f t="shared" si="13"/>
        <v/>
      </c>
      <c r="H413" s="10"/>
    </row>
    <row r="414" spans="1:8" x14ac:dyDescent="0.3">
      <c r="A414" s="10"/>
      <c r="B414" s="10"/>
      <c r="C414" s="21"/>
      <c r="D414" s="21"/>
      <c r="E414" s="17" t="str">
        <f t="shared" si="12"/>
        <v/>
      </c>
      <c r="F414" s="21"/>
      <c r="G414" s="17" t="str">
        <f t="shared" si="13"/>
        <v/>
      </c>
      <c r="H414" s="10"/>
    </row>
    <row r="415" spans="1:8" x14ac:dyDescent="0.3">
      <c r="A415" s="10"/>
      <c r="B415" s="10"/>
      <c r="C415" s="21"/>
      <c r="D415" s="21"/>
      <c r="E415" s="17" t="str">
        <f t="shared" si="12"/>
        <v/>
      </c>
      <c r="F415" s="21"/>
      <c r="G415" s="17" t="str">
        <f t="shared" si="13"/>
        <v/>
      </c>
      <c r="H415" s="10"/>
    </row>
    <row r="416" spans="1:8" x14ac:dyDescent="0.3">
      <c r="A416" s="10"/>
      <c r="B416" s="10"/>
      <c r="C416" s="21"/>
      <c r="D416" s="21"/>
      <c r="E416" s="17" t="str">
        <f t="shared" si="12"/>
        <v/>
      </c>
      <c r="F416" s="21"/>
      <c r="G416" s="17" t="str">
        <f t="shared" si="13"/>
        <v/>
      </c>
      <c r="H416" s="10"/>
    </row>
    <row r="417" spans="1:8" x14ac:dyDescent="0.3">
      <c r="A417" s="10"/>
      <c r="B417" s="10"/>
      <c r="C417" s="21"/>
      <c r="D417" s="21"/>
      <c r="E417" s="17" t="str">
        <f t="shared" si="12"/>
        <v/>
      </c>
      <c r="F417" s="21"/>
      <c r="G417" s="17" t="str">
        <f t="shared" si="13"/>
        <v/>
      </c>
      <c r="H417" s="10"/>
    </row>
    <row r="418" spans="1:8" x14ac:dyDescent="0.3">
      <c r="A418" s="10"/>
      <c r="B418" s="10"/>
      <c r="C418" s="21"/>
      <c r="D418" s="21"/>
      <c r="E418" s="17" t="str">
        <f t="shared" si="12"/>
        <v/>
      </c>
      <c r="F418" s="21"/>
      <c r="G418" s="17" t="str">
        <f t="shared" si="13"/>
        <v/>
      </c>
      <c r="H418" s="10"/>
    </row>
    <row r="419" spans="1:8" x14ac:dyDescent="0.3">
      <c r="A419" s="10"/>
      <c r="B419" s="10"/>
      <c r="C419" s="21"/>
      <c r="D419" s="21"/>
      <c r="E419" s="17" t="str">
        <f t="shared" si="12"/>
        <v/>
      </c>
      <c r="F419" s="21"/>
      <c r="G419" s="17" t="str">
        <f t="shared" si="13"/>
        <v/>
      </c>
      <c r="H419" s="10"/>
    </row>
    <row r="420" spans="1:8" x14ac:dyDescent="0.3">
      <c r="A420" s="10"/>
      <c r="B420" s="10"/>
      <c r="C420" s="21"/>
      <c r="D420" s="21"/>
      <c r="E420" s="17" t="str">
        <f t="shared" si="12"/>
        <v/>
      </c>
      <c r="F420" s="21"/>
      <c r="G420" s="17" t="str">
        <f t="shared" si="13"/>
        <v/>
      </c>
      <c r="H420" s="10"/>
    </row>
    <row r="421" spans="1:8" x14ac:dyDescent="0.3">
      <c r="A421" s="10"/>
      <c r="B421" s="10"/>
      <c r="C421" s="21"/>
      <c r="D421" s="21"/>
      <c r="E421" s="17" t="str">
        <f t="shared" si="12"/>
        <v/>
      </c>
      <c r="F421" s="21"/>
      <c r="G421" s="17" t="str">
        <f t="shared" si="13"/>
        <v/>
      </c>
      <c r="H421" s="10"/>
    </row>
    <row r="422" spans="1:8" x14ac:dyDescent="0.3">
      <c r="A422" s="10"/>
      <c r="B422" s="10"/>
      <c r="C422" s="21"/>
      <c r="D422" s="21"/>
      <c r="E422" s="17" t="str">
        <f t="shared" si="12"/>
        <v/>
      </c>
      <c r="F422" s="21"/>
      <c r="G422" s="17" t="str">
        <f t="shared" si="13"/>
        <v/>
      </c>
      <c r="H422" s="10"/>
    </row>
    <row r="423" spans="1:8" x14ac:dyDescent="0.3">
      <c r="A423" s="10"/>
      <c r="B423" s="10"/>
      <c r="C423" s="21"/>
      <c r="D423" s="21"/>
      <c r="E423" s="17" t="str">
        <f t="shared" si="12"/>
        <v/>
      </c>
      <c r="F423" s="21"/>
      <c r="G423" s="17" t="str">
        <f t="shared" si="13"/>
        <v/>
      </c>
      <c r="H423" s="10"/>
    </row>
    <row r="424" spans="1:8" x14ac:dyDescent="0.3">
      <c r="A424" s="10"/>
      <c r="B424" s="10"/>
      <c r="C424" s="21"/>
      <c r="D424" s="21"/>
      <c r="E424" s="17" t="str">
        <f t="shared" si="12"/>
        <v/>
      </c>
      <c r="F424" s="21"/>
      <c r="G424" s="17" t="str">
        <f t="shared" si="13"/>
        <v/>
      </c>
      <c r="H424" s="10"/>
    </row>
    <row r="425" spans="1:8" x14ac:dyDescent="0.3">
      <c r="A425" s="10"/>
      <c r="B425" s="10"/>
      <c r="C425" s="21"/>
      <c r="D425" s="21"/>
      <c r="E425" s="17" t="str">
        <f t="shared" si="12"/>
        <v/>
      </c>
      <c r="F425" s="21"/>
      <c r="G425" s="17" t="str">
        <f t="shared" si="13"/>
        <v/>
      </c>
      <c r="H425" s="10"/>
    </row>
    <row r="426" spans="1:8" x14ac:dyDescent="0.3">
      <c r="A426" s="10"/>
      <c r="B426" s="10"/>
      <c r="C426" s="21"/>
      <c r="D426" s="21"/>
      <c r="E426" s="17" t="str">
        <f t="shared" si="12"/>
        <v/>
      </c>
      <c r="F426" s="21"/>
      <c r="G426" s="17" t="str">
        <f t="shared" si="13"/>
        <v/>
      </c>
      <c r="H426" s="10"/>
    </row>
    <row r="427" spans="1:8" x14ac:dyDescent="0.3">
      <c r="A427" s="10"/>
      <c r="B427" s="10"/>
      <c r="C427" s="21"/>
      <c r="D427" s="21"/>
      <c r="E427" s="17" t="str">
        <f t="shared" si="12"/>
        <v/>
      </c>
      <c r="F427" s="21"/>
      <c r="G427" s="17" t="str">
        <f t="shared" si="13"/>
        <v/>
      </c>
      <c r="H427" s="10"/>
    </row>
    <row r="428" spans="1:8" x14ac:dyDescent="0.3">
      <c r="A428" s="10"/>
      <c r="B428" s="10"/>
      <c r="C428" s="21"/>
      <c r="D428" s="21"/>
      <c r="E428" s="17" t="str">
        <f t="shared" si="12"/>
        <v/>
      </c>
      <c r="F428" s="21"/>
      <c r="G428" s="17" t="str">
        <f t="shared" si="13"/>
        <v/>
      </c>
      <c r="H428" s="10"/>
    </row>
    <row r="429" spans="1:8" x14ac:dyDescent="0.3">
      <c r="A429" s="10"/>
      <c r="B429" s="10"/>
      <c r="C429" s="21"/>
      <c r="D429" s="21"/>
      <c r="E429" s="17" t="str">
        <f t="shared" si="12"/>
        <v/>
      </c>
      <c r="F429" s="21"/>
      <c r="G429" s="17" t="str">
        <f t="shared" si="13"/>
        <v/>
      </c>
      <c r="H429" s="10"/>
    </row>
    <row r="430" spans="1:8" x14ac:dyDescent="0.3">
      <c r="A430" s="10"/>
      <c r="B430" s="10"/>
      <c r="C430" s="21"/>
      <c r="D430" s="21"/>
      <c r="E430" s="17" t="str">
        <f t="shared" si="12"/>
        <v/>
      </c>
      <c r="F430" s="21"/>
      <c r="G430" s="17" t="str">
        <f t="shared" si="13"/>
        <v/>
      </c>
      <c r="H430" s="10"/>
    </row>
    <row r="431" spans="1:8" x14ac:dyDescent="0.3">
      <c r="A431" s="10"/>
      <c r="B431" s="10"/>
      <c r="C431" s="21"/>
      <c r="D431" s="21"/>
      <c r="E431" s="17" t="str">
        <f t="shared" si="12"/>
        <v/>
      </c>
      <c r="F431" s="21"/>
      <c r="G431" s="17" t="str">
        <f t="shared" si="13"/>
        <v/>
      </c>
      <c r="H431" s="10"/>
    </row>
    <row r="432" spans="1:8" x14ac:dyDescent="0.3">
      <c r="A432" s="10"/>
      <c r="B432" s="10"/>
      <c r="C432" s="21"/>
      <c r="D432" s="21"/>
      <c r="E432" s="17" t="str">
        <f t="shared" si="12"/>
        <v/>
      </c>
      <c r="F432" s="21"/>
      <c r="G432" s="17" t="str">
        <f t="shared" si="13"/>
        <v/>
      </c>
      <c r="H432" s="10"/>
    </row>
    <row r="433" spans="1:8" x14ac:dyDescent="0.3">
      <c r="A433" s="10"/>
      <c r="B433" s="10"/>
      <c r="C433" s="21"/>
      <c r="D433" s="21"/>
      <c r="E433" s="17" t="str">
        <f t="shared" si="12"/>
        <v/>
      </c>
      <c r="F433" s="21"/>
      <c r="G433" s="17" t="str">
        <f t="shared" si="13"/>
        <v/>
      </c>
      <c r="H433" s="10"/>
    </row>
    <row r="434" spans="1:8" x14ac:dyDescent="0.3">
      <c r="A434" s="10"/>
      <c r="B434" s="10"/>
      <c r="C434" s="21"/>
      <c r="D434" s="21"/>
      <c r="E434" s="17" t="str">
        <f t="shared" si="12"/>
        <v/>
      </c>
      <c r="F434" s="21"/>
      <c r="G434" s="17" t="str">
        <f t="shared" si="13"/>
        <v/>
      </c>
      <c r="H434" s="10"/>
    </row>
    <row r="435" spans="1:8" x14ac:dyDescent="0.3">
      <c r="A435" s="10"/>
      <c r="B435" s="10"/>
      <c r="C435" s="21"/>
      <c r="D435" s="21"/>
      <c r="E435" s="17" t="str">
        <f t="shared" si="12"/>
        <v/>
      </c>
      <c r="F435" s="21"/>
      <c r="G435" s="17" t="str">
        <f t="shared" si="13"/>
        <v/>
      </c>
      <c r="H435" s="10"/>
    </row>
    <row r="436" spans="1:8" x14ac:dyDescent="0.3">
      <c r="A436" s="10"/>
      <c r="B436" s="10"/>
      <c r="C436" s="21"/>
      <c r="D436" s="21"/>
      <c r="E436" s="17" t="str">
        <f t="shared" si="12"/>
        <v/>
      </c>
      <c r="F436" s="21"/>
      <c r="G436" s="17" t="str">
        <f t="shared" si="13"/>
        <v/>
      </c>
      <c r="H436" s="10"/>
    </row>
    <row r="437" spans="1:8" x14ac:dyDescent="0.3">
      <c r="A437" s="10"/>
      <c r="B437" s="10"/>
      <c r="C437" s="21"/>
      <c r="D437" s="21"/>
      <c r="E437" s="17" t="str">
        <f t="shared" si="12"/>
        <v/>
      </c>
      <c r="F437" s="21"/>
      <c r="G437" s="17" t="str">
        <f t="shared" si="13"/>
        <v/>
      </c>
      <c r="H437" s="10"/>
    </row>
    <row r="438" spans="1:8" x14ac:dyDescent="0.3">
      <c r="A438" s="10"/>
      <c r="B438" s="10"/>
      <c r="C438" s="21"/>
      <c r="D438" s="21"/>
      <c r="E438" s="17" t="str">
        <f t="shared" si="12"/>
        <v/>
      </c>
      <c r="F438" s="21"/>
      <c r="G438" s="17" t="str">
        <f t="shared" si="13"/>
        <v/>
      </c>
      <c r="H438" s="10"/>
    </row>
    <row r="439" spans="1:8" x14ac:dyDescent="0.3">
      <c r="A439" s="10"/>
      <c r="B439" s="10"/>
      <c r="C439" s="21"/>
      <c r="D439" s="21"/>
      <c r="E439" s="17" t="str">
        <f t="shared" si="12"/>
        <v/>
      </c>
      <c r="F439" s="21"/>
      <c r="G439" s="17" t="str">
        <f t="shared" si="13"/>
        <v/>
      </c>
      <c r="H439" s="10"/>
    </row>
    <row r="440" spans="1:8" x14ac:dyDescent="0.3">
      <c r="A440" s="10"/>
      <c r="B440" s="10"/>
      <c r="C440" s="21"/>
      <c r="D440" s="21"/>
      <c r="E440" s="17" t="str">
        <f t="shared" si="12"/>
        <v/>
      </c>
      <c r="F440" s="21"/>
      <c r="G440" s="17" t="str">
        <f t="shared" si="13"/>
        <v/>
      </c>
      <c r="H440" s="10"/>
    </row>
    <row r="441" spans="1:8" x14ac:dyDescent="0.3">
      <c r="A441" s="10"/>
      <c r="B441" s="10"/>
      <c r="C441" s="21"/>
      <c r="D441" s="21"/>
      <c r="E441" s="17" t="str">
        <f t="shared" si="12"/>
        <v/>
      </c>
      <c r="F441" s="21"/>
      <c r="G441" s="17" t="str">
        <f t="shared" si="13"/>
        <v/>
      </c>
      <c r="H441" s="10"/>
    </row>
    <row r="442" spans="1:8" x14ac:dyDescent="0.3">
      <c r="A442" s="10"/>
      <c r="B442" s="10"/>
      <c r="C442" s="21"/>
      <c r="D442" s="21"/>
      <c r="E442" s="17" t="str">
        <f t="shared" si="12"/>
        <v/>
      </c>
      <c r="F442" s="21"/>
      <c r="G442" s="17" t="str">
        <f t="shared" si="13"/>
        <v/>
      </c>
      <c r="H442" s="10"/>
    </row>
    <row r="443" spans="1:8" x14ac:dyDescent="0.3">
      <c r="A443" s="10"/>
      <c r="B443" s="10"/>
      <c r="C443" s="21"/>
      <c r="D443" s="21"/>
      <c r="E443" s="17" t="str">
        <f t="shared" si="12"/>
        <v/>
      </c>
      <c r="F443" s="21"/>
      <c r="G443" s="17" t="str">
        <f t="shared" si="13"/>
        <v/>
      </c>
      <c r="H443" s="10"/>
    </row>
    <row r="444" spans="1:8" x14ac:dyDescent="0.3">
      <c r="A444" s="10"/>
      <c r="B444" s="10"/>
      <c r="C444" s="21"/>
      <c r="D444" s="21"/>
      <c r="E444" s="17" t="str">
        <f t="shared" si="12"/>
        <v/>
      </c>
      <c r="F444" s="21"/>
      <c r="G444" s="17" t="str">
        <f t="shared" si="13"/>
        <v/>
      </c>
      <c r="H444" s="10"/>
    </row>
    <row r="445" spans="1:8" x14ac:dyDescent="0.3">
      <c r="A445" s="10"/>
      <c r="B445" s="10"/>
      <c r="C445" s="21"/>
      <c r="D445" s="21"/>
      <c r="E445" s="17" t="str">
        <f t="shared" si="12"/>
        <v/>
      </c>
      <c r="F445" s="21"/>
      <c r="G445" s="17" t="str">
        <f t="shared" si="13"/>
        <v/>
      </c>
      <c r="H445" s="10"/>
    </row>
    <row r="446" spans="1:8" x14ac:dyDescent="0.3">
      <c r="A446" s="10"/>
      <c r="B446" s="10"/>
      <c r="C446" s="21"/>
      <c r="D446" s="21"/>
      <c r="E446" s="17" t="str">
        <f t="shared" si="12"/>
        <v/>
      </c>
      <c r="F446" s="21"/>
      <c r="G446" s="17" t="str">
        <f t="shared" si="13"/>
        <v/>
      </c>
      <c r="H446" s="10"/>
    </row>
    <row r="447" spans="1:8" x14ac:dyDescent="0.3">
      <c r="A447" s="10"/>
      <c r="B447" s="10"/>
      <c r="C447" s="21"/>
      <c r="D447" s="21"/>
      <c r="E447" s="17" t="str">
        <f t="shared" si="12"/>
        <v/>
      </c>
      <c r="F447" s="21"/>
      <c r="G447" s="17" t="str">
        <f t="shared" si="13"/>
        <v/>
      </c>
      <c r="H447" s="10"/>
    </row>
    <row r="448" spans="1:8" x14ac:dyDescent="0.3">
      <c r="A448" s="10"/>
      <c r="B448" s="10"/>
      <c r="C448" s="21"/>
      <c r="D448" s="21"/>
      <c r="E448" s="17" t="str">
        <f t="shared" si="12"/>
        <v/>
      </c>
      <c r="F448" s="21"/>
      <c r="G448" s="17" t="str">
        <f t="shared" si="13"/>
        <v/>
      </c>
      <c r="H448" s="10"/>
    </row>
    <row r="449" spans="1:8" x14ac:dyDescent="0.3">
      <c r="A449" s="10"/>
      <c r="B449" s="10"/>
      <c r="C449" s="21"/>
      <c r="D449" s="21"/>
      <c r="E449" s="17" t="str">
        <f t="shared" si="12"/>
        <v/>
      </c>
      <c r="F449" s="21"/>
      <c r="G449" s="17" t="str">
        <f t="shared" si="13"/>
        <v/>
      </c>
      <c r="H449" s="10"/>
    </row>
    <row r="450" spans="1:8" x14ac:dyDescent="0.3">
      <c r="A450" s="10"/>
      <c r="B450" s="10"/>
      <c r="C450" s="21"/>
      <c r="D450" s="21"/>
      <c r="E450" s="17" t="str">
        <f t="shared" ref="E450:E500" si="14">IF($A450="","",$C450-$D450)</f>
        <v/>
      </c>
      <c r="F450" s="21"/>
      <c r="G450" s="17" t="str">
        <f t="shared" ref="G450:G500" si="15">IF($A450="","",IF($F450="","",IF($C450-$D450&lt;=$F450,"REORDER","OK")))</f>
        <v/>
      </c>
      <c r="H450" s="10"/>
    </row>
    <row r="451" spans="1:8" x14ac:dyDescent="0.3">
      <c r="A451" s="10"/>
      <c r="B451" s="10"/>
      <c r="C451" s="21"/>
      <c r="D451" s="21"/>
      <c r="E451" s="17" t="str">
        <f t="shared" si="14"/>
        <v/>
      </c>
      <c r="F451" s="21"/>
      <c r="G451" s="17" t="str">
        <f t="shared" si="15"/>
        <v/>
      </c>
      <c r="H451" s="10"/>
    </row>
    <row r="452" spans="1:8" x14ac:dyDescent="0.3">
      <c r="A452" s="10"/>
      <c r="B452" s="10"/>
      <c r="C452" s="21"/>
      <c r="D452" s="21"/>
      <c r="E452" s="17" t="str">
        <f t="shared" si="14"/>
        <v/>
      </c>
      <c r="F452" s="21"/>
      <c r="G452" s="17" t="str">
        <f t="shared" si="15"/>
        <v/>
      </c>
      <c r="H452" s="10"/>
    </row>
    <row r="453" spans="1:8" x14ac:dyDescent="0.3">
      <c r="A453" s="10"/>
      <c r="B453" s="10"/>
      <c r="C453" s="21"/>
      <c r="D453" s="21"/>
      <c r="E453" s="17" t="str">
        <f t="shared" si="14"/>
        <v/>
      </c>
      <c r="F453" s="21"/>
      <c r="G453" s="17" t="str">
        <f t="shared" si="15"/>
        <v/>
      </c>
      <c r="H453" s="10"/>
    </row>
    <row r="454" spans="1:8" x14ac:dyDescent="0.3">
      <c r="A454" s="10"/>
      <c r="B454" s="10"/>
      <c r="C454" s="21"/>
      <c r="D454" s="21"/>
      <c r="E454" s="17" t="str">
        <f t="shared" si="14"/>
        <v/>
      </c>
      <c r="F454" s="21"/>
      <c r="G454" s="17" t="str">
        <f t="shared" si="15"/>
        <v/>
      </c>
      <c r="H454" s="10"/>
    </row>
    <row r="455" spans="1:8" x14ac:dyDescent="0.3">
      <c r="A455" s="10"/>
      <c r="B455" s="10"/>
      <c r="C455" s="21"/>
      <c r="D455" s="21"/>
      <c r="E455" s="17" t="str">
        <f t="shared" si="14"/>
        <v/>
      </c>
      <c r="F455" s="21"/>
      <c r="G455" s="17" t="str">
        <f t="shared" si="15"/>
        <v/>
      </c>
      <c r="H455" s="10"/>
    </row>
    <row r="456" spans="1:8" x14ac:dyDescent="0.3">
      <c r="A456" s="10"/>
      <c r="B456" s="10"/>
      <c r="C456" s="21"/>
      <c r="D456" s="21"/>
      <c r="E456" s="17" t="str">
        <f t="shared" si="14"/>
        <v/>
      </c>
      <c r="F456" s="21"/>
      <c r="G456" s="17" t="str">
        <f t="shared" si="15"/>
        <v/>
      </c>
      <c r="H456" s="10"/>
    </row>
    <row r="457" spans="1:8" x14ac:dyDescent="0.3">
      <c r="A457" s="10"/>
      <c r="B457" s="10"/>
      <c r="C457" s="21"/>
      <c r="D457" s="21"/>
      <c r="E457" s="17" t="str">
        <f t="shared" si="14"/>
        <v/>
      </c>
      <c r="F457" s="21"/>
      <c r="G457" s="17" t="str">
        <f t="shared" si="15"/>
        <v/>
      </c>
      <c r="H457" s="10"/>
    </row>
    <row r="458" spans="1:8" x14ac:dyDescent="0.3">
      <c r="A458" s="10"/>
      <c r="B458" s="10"/>
      <c r="C458" s="21"/>
      <c r="D458" s="21"/>
      <c r="E458" s="17" t="str">
        <f t="shared" si="14"/>
        <v/>
      </c>
      <c r="F458" s="21"/>
      <c r="G458" s="17" t="str">
        <f t="shared" si="15"/>
        <v/>
      </c>
      <c r="H458" s="10"/>
    </row>
    <row r="459" spans="1:8" x14ac:dyDescent="0.3">
      <c r="A459" s="10"/>
      <c r="B459" s="10"/>
      <c r="C459" s="21"/>
      <c r="D459" s="21"/>
      <c r="E459" s="17" t="str">
        <f t="shared" si="14"/>
        <v/>
      </c>
      <c r="F459" s="21"/>
      <c r="G459" s="17" t="str">
        <f t="shared" si="15"/>
        <v/>
      </c>
      <c r="H459" s="10"/>
    </row>
    <row r="460" spans="1:8" x14ac:dyDescent="0.3">
      <c r="A460" s="10"/>
      <c r="B460" s="10"/>
      <c r="C460" s="21"/>
      <c r="D460" s="21"/>
      <c r="E460" s="17" t="str">
        <f t="shared" si="14"/>
        <v/>
      </c>
      <c r="F460" s="21"/>
      <c r="G460" s="17" t="str">
        <f t="shared" si="15"/>
        <v/>
      </c>
      <c r="H460" s="10"/>
    </row>
    <row r="461" spans="1:8" x14ac:dyDescent="0.3">
      <c r="A461" s="10"/>
      <c r="B461" s="10"/>
      <c r="C461" s="21"/>
      <c r="D461" s="21"/>
      <c r="E461" s="17" t="str">
        <f t="shared" si="14"/>
        <v/>
      </c>
      <c r="F461" s="21"/>
      <c r="G461" s="17" t="str">
        <f t="shared" si="15"/>
        <v/>
      </c>
      <c r="H461" s="10"/>
    </row>
    <row r="462" spans="1:8" x14ac:dyDescent="0.3">
      <c r="A462" s="10"/>
      <c r="B462" s="10"/>
      <c r="C462" s="21"/>
      <c r="D462" s="21"/>
      <c r="E462" s="17" t="str">
        <f t="shared" si="14"/>
        <v/>
      </c>
      <c r="F462" s="21"/>
      <c r="G462" s="17" t="str">
        <f t="shared" si="15"/>
        <v/>
      </c>
      <c r="H462" s="10"/>
    </row>
    <row r="463" spans="1:8" x14ac:dyDescent="0.3">
      <c r="A463" s="10"/>
      <c r="B463" s="10"/>
      <c r="C463" s="21"/>
      <c r="D463" s="21"/>
      <c r="E463" s="17" t="str">
        <f t="shared" si="14"/>
        <v/>
      </c>
      <c r="F463" s="21"/>
      <c r="G463" s="17" t="str">
        <f t="shared" si="15"/>
        <v/>
      </c>
      <c r="H463" s="10"/>
    </row>
    <row r="464" spans="1:8" x14ac:dyDescent="0.3">
      <c r="A464" s="10"/>
      <c r="B464" s="10"/>
      <c r="C464" s="21"/>
      <c r="D464" s="21"/>
      <c r="E464" s="17" t="str">
        <f t="shared" si="14"/>
        <v/>
      </c>
      <c r="F464" s="21"/>
      <c r="G464" s="17" t="str">
        <f t="shared" si="15"/>
        <v/>
      </c>
      <c r="H464" s="10"/>
    </row>
    <row r="465" spans="1:8" x14ac:dyDescent="0.3">
      <c r="A465" s="10"/>
      <c r="B465" s="10"/>
      <c r="C465" s="21"/>
      <c r="D465" s="21"/>
      <c r="E465" s="17" t="str">
        <f t="shared" si="14"/>
        <v/>
      </c>
      <c r="F465" s="21"/>
      <c r="G465" s="17" t="str">
        <f t="shared" si="15"/>
        <v/>
      </c>
      <c r="H465" s="10"/>
    </row>
    <row r="466" spans="1:8" x14ac:dyDescent="0.3">
      <c r="A466" s="10"/>
      <c r="B466" s="10"/>
      <c r="C466" s="21"/>
      <c r="D466" s="21"/>
      <c r="E466" s="17" t="str">
        <f t="shared" si="14"/>
        <v/>
      </c>
      <c r="F466" s="21"/>
      <c r="G466" s="17" t="str">
        <f t="shared" si="15"/>
        <v/>
      </c>
      <c r="H466" s="10"/>
    </row>
    <row r="467" spans="1:8" x14ac:dyDescent="0.3">
      <c r="A467" s="10"/>
      <c r="B467" s="10"/>
      <c r="C467" s="21"/>
      <c r="D467" s="21"/>
      <c r="E467" s="17" t="str">
        <f t="shared" si="14"/>
        <v/>
      </c>
      <c r="F467" s="21"/>
      <c r="G467" s="17" t="str">
        <f t="shared" si="15"/>
        <v/>
      </c>
      <c r="H467" s="10"/>
    </row>
    <row r="468" spans="1:8" x14ac:dyDescent="0.3">
      <c r="A468" s="10"/>
      <c r="B468" s="10"/>
      <c r="C468" s="21"/>
      <c r="D468" s="21"/>
      <c r="E468" s="17" t="str">
        <f t="shared" si="14"/>
        <v/>
      </c>
      <c r="F468" s="21"/>
      <c r="G468" s="17" t="str">
        <f t="shared" si="15"/>
        <v/>
      </c>
      <c r="H468" s="10"/>
    </row>
    <row r="469" spans="1:8" x14ac:dyDescent="0.3">
      <c r="A469" s="10"/>
      <c r="B469" s="10"/>
      <c r="C469" s="21"/>
      <c r="D469" s="21"/>
      <c r="E469" s="17" t="str">
        <f t="shared" si="14"/>
        <v/>
      </c>
      <c r="F469" s="21"/>
      <c r="G469" s="17" t="str">
        <f t="shared" si="15"/>
        <v/>
      </c>
      <c r="H469" s="10"/>
    </row>
    <row r="470" spans="1:8" x14ac:dyDescent="0.3">
      <c r="A470" s="10"/>
      <c r="B470" s="10"/>
      <c r="C470" s="21"/>
      <c r="D470" s="21"/>
      <c r="E470" s="17" t="str">
        <f t="shared" si="14"/>
        <v/>
      </c>
      <c r="F470" s="21"/>
      <c r="G470" s="17" t="str">
        <f t="shared" si="15"/>
        <v/>
      </c>
      <c r="H470" s="10"/>
    </row>
    <row r="471" spans="1:8" x14ac:dyDescent="0.3">
      <c r="A471" s="10"/>
      <c r="B471" s="10"/>
      <c r="C471" s="21"/>
      <c r="D471" s="21"/>
      <c r="E471" s="17" t="str">
        <f t="shared" si="14"/>
        <v/>
      </c>
      <c r="F471" s="21"/>
      <c r="G471" s="17" t="str">
        <f t="shared" si="15"/>
        <v/>
      </c>
      <c r="H471" s="10"/>
    </row>
    <row r="472" spans="1:8" x14ac:dyDescent="0.3">
      <c r="A472" s="10"/>
      <c r="B472" s="10"/>
      <c r="C472" s="21"/>
      <c r="D472" s="21"/>
      <c r="E472" s="17" t="str">
        <f t="shared" si="14"/>
        <v/>
      </c>
      <c r="F472" s="21"/>
      <c r="G472" s="17" t="str">
        <f t="shared" si="15"/>
        <v/>
      </c>
      <c r="H472" s="10"/>
    </row>
    <row r="473" spans="1:8" x14ac:dyDescent="0.3">
      <c r="A473" s="10"/>
      <c r="B473" s="10"/>
      <c r="C473" s="21"/>
      <c r="D473" s="21"/>
      <c r="E473" s="17" t="str">
        <f t="shared" si="14"/>
        <v/>
      </c>
      <c r="F473" s="21"/>
      <c r="G473" s="17" t="str">
        <f t="shared" si="15"/>
        <v/>
      </c>
      <c r="H473" s="10"/>
    </row>
    <row r="474" spans="1:8" x14ac:dyDescent="0.3">
      <c r="A474" s="10"/>
      <c r="B474" s="10"/>
      <c r="C474" s="21"/>
      <c r="D474" s="21"/>
      <c r="E474" s="17" t="str">
        <f t="shared" si="14"/>
        <v/>
      </c>
      <c r="F474" s="21"/>
      <c r="G474" s="17" t="str">
        <f t="shared" si="15"/>
        <v/>
      </c>
      <c r="H474" s="10"/>
    </row>
    <row r="475" spans="1:8" x14ac:dyDescent="0.3">
      <c r="A475" s="10"/>
      <c r="B475" s="10"/>
      <c r="C475" s="21"/>
      <c r="D475" s="21"/>
      <c r="E475" s="17" t="str">
        <f t="shared" si="14"/>
        <v/>
      </c>
      <c r="F475" s="21"/>
      <c r="G475" s="17" t="str">
        <f t="shared" si="15"/>
        <v/>
      </c>
      <c r="H475" s="10"/>
    </row>
    <row r="476" spans="1:8" x14ac:dyDescent="0.3">
      <c r="A476" s="10"/>
      <c r="B476" s="10"/>
      <c r="C476" s="21"/>
      <c r="D476" s="21"/>
      <c r="E476" s="17" t="str">
        <f t="shared" si="14"/>
        <v/>
      </c>
      <c r="F476" s="21"/>
      <c r="G476" s="17" t="str">
        <f t="shared" si="15"/>
        <v/>
      </c>
      <c r="H476" s="10"/>
    </row>
    <row r="477" spans="1:8" x14ac:dyDescent="0.3">
      <c r="A477" s="10"/>
      <c r="B477" s="10"/>
      <c r="C477" s="21"/>
      <c r="D477" s="21"/>
      <c r="E477" s="17" t="str">
        <f t="shared" si="14"/>
        <v/>
      </c>
      <c r="F477" s="21"/>
      <c r="G477" s="17" t="str">
        <f t="shared" si="15"/>
        <v/>
      </c>
      <c r="H477" s="10"/>
    </row>
    <row r="478" spans="1:8" x14ac:dyDescent="0.3">
      <c r="A478" s="10"/>
      <c r="B478" s="10"/>
      <c r="C478" s="21"/>
      <c r="D478" s="21"/>
      <c r="E478" s="17" t="str">
        <f t="shared" si="14"/>
        <v/>
      </c>
      <c r="F478" s="21"/>
      <c r="G478" s="17" t="str">
        <f t="shared" si="15"/>
        <v/>
      </c>
      <c r="H478" s="10"/>
    </row>
    <row r="479" spans="1:8" x14ac:dyDescent="0.3">
      <c r="A479" s="10"/>
      <c r="B479" s="10"/>
      <c r="C479" s="21"/>
      <c r="D479" s="21"/>
      <c r="E479" s="17" t="str">
        <f t="shared" si="14"/>
        <v/>
      </c>
      <c r="F479" s="21"/>
      <c r="G479" s="17" t="str">
        <f t="shared" si="15"/>
        <v/>
      </c>
      <c r="H479" s="10"/>
    </row>
    <row r="480" spans="1:8" x14ac:dyDescent="0.3">
      <c r="A480" s="10"/>
      <c r="B480" s="10"/>
      <c r="C480" s="21"/>
      <c r="D480" s="21"/>
      <c r="E480" s="17" t="str">
        <f t="shared" si="14"/>
        <v/>
      </c>
      <c r="F480" s="21"/>
      <c r="G480" s="17" t="str">
        <f t="shared" si="15"/>
        <v/>
      </c>
      <c r="H480" s="10"/>
    </row>
    <row r="481" spans="1:8" x14ac:dyDescent="0.3">
      <c r="A481" s="10"/>
      <c r="B481" s="10"/>
      <c r="C481" s="21"/>
      <c r="D481" s="21"/>
      <c r="E481" s="17" t="str">
        <f t="shared" si="14"/>
        <v/>
      </c>
      <c r="F481" s="21"/>
      <c r="G481" s="17" t="str">
        <f t="shared" si="15"/>
        <v/>
      </c>
      <c r="H481" s="10"/>
    </row>
    <row r="482" spans="1:8" x14ac:dyDescent="0.3">
      <c r="A482" s="10"/>
      <c r="B482" s="10"/>
      <c r="C482" s="21"/>
      <c r="D482" s="21"/>
      <c r="E482" s="17" t="str">
        <f t="shared" si="14"/>
        <v/>
      </c>
      <c r="F482" s="21"/>
      <c r="G482" s="17" t="str">
        <f t="shared" si="15"/>
        <v/>
      </c>
      <c r="H482" s="10"/>
    </row>
    <row r="483" spans="1:8" x14ac:dyDescent="0.3">
      <c r="A483" s="10"/>
      <c r="B483" s="10"/>
      <c r="C483" s="21"/>
      <c r="D483" s="21"/>
      <c r="E483" s="17" t="str">
        <f t="shared" si="14"/>
        <v/>
      </c>
      <c r="F483" s="21"/>
      <c r="G483" s="17" t="str">
        <f t="shared" si="15"/>
        <v/>
      </c>
      <c r="H483" s="10"/>
    </row>
    <row r="484" spans="1:8" x14ac:dyDescent="0.3">
      <c r="A484" s="10"/>
      <c r="B484" s="10"/>
      <c r="C484" s="21"/>
      <c r="D484" s="21"/>
      <c r="E484" s="17" t="str">
        <f t="shared" si="14"/>
        <v/>
      </c>
      <c r="F484" s="21"/>
      <c r="G484" s="17" t="str">
        <f t="shared" si="15"/>
        <v/>
      </c>
      <c r="H484" s="10"/>
    </row>
    <row r="485" spans="1:8" x14ac:dyDescent="0.3">
      <c r="A485" s="10"/>
      <c r="B485" s="10"/>
      <c r="C485" s="21"/>
      <c r="D485" s="21"/>
      <c r="E485" s="17" t="str">
        <f t="shared" si="14"/>
        <v/>
      </c>
      <c r="F485" s="21"/>
      <c r="G485" s="17" t="str">
        <f t="shared" si="15"/>
        <v/>
      </c>
      <c r="H485" s="10"/>
    </row>
    <row r="486" spans="1:8" x14ac:dyDescent="0.3">
      <c r="A486" s="10"/>
      <c r="B486" s="10"/>
      <c r="C486" s="21"/>
      <c r="D486" s="21"/>
      <c r="E486" s="17" t="str">
        <f t="shared" si="14"/>
        <v/>
      </c>
      <c r="F486" s="21"/>
      <c r="G486" s="17" t="str">
        <f t="shared" si="15"/>
        <v/>
      </c>
      <c r="H486" s="10"/>
    </row>
    <row r="487" spans="1:8" x14ac:dyDescent="0.3">
      <c r="A487" s="10"/>
      <c r="B487" s="10"/>
      <c r="C487" s="21"/>
      <c r="D487" s="21"/>
      <c r="E487" s="17" t="str">
        <f t="shared" si="14"/>
        <v/>
      </c>
      <c r="F487" s="21"/>
      <c r="G487" s="17" t="str">
        <f t="shared" si="15"/>
        <v/>
      </c>
      <c r="H487" s="10"/>
    </row>
    <row r="488" spans="1:8" x14ac:dyDescent="0.3">
      <c r="A488" s="10"/>
      <c r="B488" s="10"/>
      <c r="C488" s="21"/>
      <c r="D488" s="21"/>
      <c r="E488" s="17" t="str">
        <f t="shared" si="14"/>
        <v/>
      </c>
      <c r="F488" s="21"/>
      <c r="G488" s="17" t="str">
        <f t="shared" si="15"/>
        <v/>
      </c>
      <c r="H488" s="10"/>
    </row>
    <row r="489" spans="1:8" x14ac:dyDescent="0.3">
      <c r="A489" s="10"/>
      <c r="B489" s="10"/>
      <c r="C489" s="21"/>
      <c r="D489" s="21"/>
      <c r="E489" s="17" t="str">
        <f t="shared" si="14"/>
        <v/>
      </c>
      <c r="F489" s="21"/>
      <c r="G489" s="17" t="str">
        <f t="shared" si="15"/>
        <v/>
      </c>
      <c r="H489" s="10"/>
    </row>
    <row r="490" spans="1:8" x14ac:dyDescent="0.3">
      <c r="A490" s="10"/>
      <c r="B490" s="10"/>
      <c r="C490" s="21"/>
      <c r="D490" s="21"/>
      <c r="E490" s="17" t="str">
        <f t="shared" si="14"/>
        <v/>
      </c>
      <c r="F490" s="21"/>
      <c r="G490" s="17" t="str">
        <f t="shared" si="15"/>
        <v/>
      </c>
      <c r="H490" s="10"/>
    </row>
    <row r="491" spans="1:8" x14ac:dyDescent="0.3">
      <c r="A491" s="10"/>
      <c r="B491" s="10"/>
      <c r="C491" s="21"/>
      <c r="D491" s="21"/>
      <c r="E491" s="17" t="str">
        <f t="shared" si="14"/>
        <v/>
      </c>
      <c r="F491" s="21"/>
      <c r="G491" s="17" t="str">
        <f t="shared" si="15"/>
        <v/>
      </c>
      <c r="H491" s="10"/>
    </row>
    <row r="492" spans="1:8" x14ac:dyDescent="0.3">
      <c r="A492" s="10"/>
      <c r="B492" s="10"/>
      <c r="C492" s="21"/>
      <c r="D492" s="21"/>
      <c r="E492" s="17" t="str">
        <f t="shared" si="14"/>
        <v/>
      </c>
      <c r="F492" s="21"/>
      <c r="G492" s="17" t="str">
        <f t="shared" si="15"/>
        <v/>
      </c>
      <c r="H492" s="10"/>
    </row>
    <row r="493" spans="1:8" x14ac:dyDescent="0.3">
      <c r="A493" s="10"/>
      <c r="B493" s="10"/>
      <c r="C493" s="21"/>
      <c r="D493" s="21"/>
      <c r="E493" s="17" t="str">
        <f t="shared" si="14"/>
        <v/>
      </c>
      <c r="F493" s="21"/>
      <c r="G493" s="17" t="str">
        <f t="shared" si="15"/>
        <v/>
      </c>
      <c r="H493" s="10"/>
    </row>
    <row r="494" spans="1:8" x14ac:dyDescent="0.3">
      <c r="A494" s="10"/>
      <c r="B494" s="10"/>
      <c r="C494" s="21"/>
      <c r="D494" s="21"/>
      <c r="E494" s="17" t="str">
        <f t="shared" si="14"/>
        <v/>
      </c>
      <c r="F494" s="21"/>
      <c r="G494" s="17" t="str">
        <f t="shared" si="15"/>
        <v/>
      </c>
      <c r="H494" s="10"/>
    </row>
    <row r="495" spans="1:8" x14ac:dyDescent="0.3">
      <c r="A495" s="10"/>
      <c r="B495" s="10"/>
      <c r="C495" s="21"/>
      <c r="D495" s="21"/>
      <c r="E495" s="17" t="str">
        <f t="shared" si="14"/>
        <v/>
      </c>
      <c r="F495" s="21"/>
      <c r="G495" s="17" t="str">
        <f t="shared" si="15"/>
        <v/>
      </c>
      <c r="H495" s="10"/>
    </row>
    <row r="496" spans="1:8" x14ac:dyDescent="0.3">
      <c r="A496" s="10"/>
      <c r="B496" s="10"/>
      <c r="C496" s="21"/>
      <c r="D496" s="21"/>
      <c r="E496" s="17" t="str">
        <f t="shared" si="14"/>
        <v/>
      </c>
      <c r="F496" s="21"/>
      <c r="G496" s="17" t="str">
        <f t="shared" si="15"/>
        <v/>
      </c>
      <c r="H496" s="10"/>
    </row>
    <row r="497" spans="1:8" x14ac:dyDescent="0.3">
      <c r="A497" s="10"/>
      <c r="B497" s="10"/>
      <c r="C497" s="21"/>
      <c r="D497" s="21"/>
      <c r="E497" s="17" t="str">
        <f t="shared" si="14"/>
        <v/>
      </c>
      <c r="F497" s="21"/>
      <c r="G497" s="17" t="str">
        <f t="shared" si="15"/>
        <v/>
      </c>
      <c r="H497" s="10"/>
    </row>
    <row r="498" spans="1:8" x14ac:dyDescent="0.3">
      <c r="A498" s="10"/>
      <c r="B498" s="10"/>
      <c r="C498" s="21"/>
      <c r="D498" s="21"/>
      <c r="E498" s="17" t="str">
        <f t="shared" si="14"/>
        <v/>
      </c>
      <c r="F498" s="21"/>
      <c r="G498" s="17" t="str">
        <f t="shared" si="15"/>
        <v/>
      </c>
      <c r="H498" s="10"/>
    </row>
    <row r="499" spans="1:8" x14ac:dyDescent="0.3">
      <c r="A499" s="10"/>
      <c r="B499" s="10"/>
      <c r="C499" s="21"/>
      <c r="D499" s="21"/>
      <c r="E499" s="17" t="str">
        <f t="shared" si="14"/>
        <v/>
      </c>
      <c r="F499" s="21"/>
      <c r="G499" s="17" t="str">
        <f t="shared" si="15"/>
        <v/>
      </c>
      <c r="H499" s="10"/>
    </row>
    <row r="500" spans="1:8" x14ac:dyDescent="0.3">
      <c r="A500" s="10"/>
      <c r="B500" s="10"/>
      <c r="C500" s="21"/>
      <c r="D500" s="21"/>
      <c r="E500" s="17" t="str">
        <f t="shared" si="14"/>
        <v/>
      </c>
      <c r="F500" s="21"/>
      <c r="G500" s="17" t="str">
        <f t="shared" si="15"/>
        <v/>
      </c>
      <c r="H500" s="10"/>
    </row>
  </sheetData>
  <autoFilter ref="A1:H500" xr:uid="{00000000-0009-0000-0000-000005000000}"/>
  <conditionalFormatting sqref="G2:G500">
    <cfRule type="expression" dxfId="1" priority="2">
      <formula>$G2="REORDER"</formula>
    </cfRule>
    <cfRule type="expression" dxfId="0" priority="3">
      <formula>$G2="OK"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" width="18" customWidth="1"/>
    <col min="4" max="4" width="3" customWidth="1"/>
    <col min="5" max="9" width="18" customWidth="1"/>
    <col min="11" max="11" width="75" customWidth="1"/>
  </cols>
  <sheetData>
    <row r="1" spans="1:11" ht="30" customHeight="1" x14ac:dyDescent="0.3">
      <c r="A1" s="14" t="s">
        <v>42</v>
      </c>
      <c r="B1" s="14" t="s">
        <v>154</v>
      </c>
      <c r="C1" s="15" t="s">
        <v>155</v>
      </c>
      <c r="E1" s="14" t="s">
        <v>46</v>
      </c>
      <c r="F1" s="14" t="s">
        <v>47</v>
      </c>
      <c r="G1" s="14" t="s">
        <v>50</v>
      </c>
      <c r="H1" s="14" t="s">
        <v>108</v>
      </c>
      <c r="I1" s="14" t="s">
        <v>156</v>
      </c>
      <c r="K1" s="3" t="s">
        <v>157</v>
      </c>
    </row>
    <row r="2" spans="1:11" x14ac:dyDescent="0.3">
      <c r="A2" s="2" t="s">
        <v>58</v>
      </c>
      <c r="B2" s="22" t="s">
        <v>158</v>
      </c>
      <c r="C2" s="23" t="str">
        <f>IF($A2="","","PBS-"&amp;$B2&amp;"-"&amp;TEXT(COUNTIF('Asset Register'!$B:$B,$A2)+1,"000"))</f>
        <v>PBS-LAP-007</v>
      </c>
      <c r="E2" s="2" t="s">
        <v>62</v>
      </c>
      <c r="F2" s="2" t="s">
        <v>159</v>
      </c>
      <c r="G2" s="2" t="s">
        <v>160</v>
      </c>
      <c r="H2" s="2" t="s">
        <v>161</v>
      </c>
      <c r="I2" s="2" t="s">
        <v>162</v>
      </c>
      <c r="K2" s="9" t="s">
        <v>163</v>
      </c>
    </row>
    <row r="3" spans="1:11" x14ac:dyDescent="0.3">
      <c r="A3" s="2" t="s">
        <v>164</v>
      </c>
      <c r="B3" s="22" t="s">
        <v>165</v>
      </c>
      <c r="C3" s="23" t="str">
        <f>IF($A3="","","PBS-"&amp;$B3&amp;"-"&amp;TEXT(COUNTIF('Asset Register'!$B:$B,$A3)+1,"000"))</f>
        <v>PBS-DSK-001</v>
      </c>
      <c r="E3" s="2" t="s">
        <v>166</v>
      </c>
      <c r="F3" s="2" t="s">
        <v>63</v>
      </c>
      <c r="G3" s="2" t="s">
        <v>167</v>
      </c>
      <c r="H3" s="2" t="s">
        <v>114</v>
      </c>
      <c r="I3" s="2" t="s">
        <v>168</v>
      </c>
      <c r="K3" s="9" t="s">
        <v>169</v>
      </c>
    </row>
    <row r="4" spans="1:11" x14ac:dyDescent="0.3">
      <c r="A4" s="2" t="s">
        <v>170</v>
      </c>
      <c r="B4" s="22" t="s">
        <v>171</v>
      </c>
      <c r="C4" s="23" t="str">
        <f>IF($A4="","","PBS-"&amp;$B4&amp;"-"&amp;TEXT(COUNTIF('Asset Register'!$B:$B,$A4)+1,"000"))</f>
        <v>PBS-MON-001</v>
      </c>
      <c r="E4" s="2" t="s">
        <v>172</v>
      </c>
      <c r="F4" s="2" t="s">
        <v>173</v>
      </c>
      <c r="G4" s="2" t="s">
        <v>174</v>
      </c>
      <c r="H4" s="2" t="s">
        <v>175</v>
      </c>
      <c r="I4" s="2" t="s">
        <v>176</v>
      </c>
      <c r="K4" s="9" t="s">
        <v>177</v>
      </c>
    </row>
    <row r="5" spans="1:11" x14ac:dyDescent="0.3">
      <c r="A5" s="2" t="s">
        <v>83</v>
      </c>
      <c r="B5" s="22" t="s">
        <v>178</v>
      </c>
      <c r="C5" s="23" t="str">
        <f>IF($A5="","","PBS-"&amp;$B5&amp;"-"&amp;TEXT(COUNTIF('Asset Register'!$B:$B,$A5)+1,"000"))</f>
        <v>PBS-HST-006</v>
      </c>
      <c r="E5" s="2" t="s">
        <v>179</v>
      </c>
      <c r="F5" s="2" t="s">
        <v>180</v>
      </c>
      <c r="G5" s="2" t="s">
        <v>77</v>
      </c>
      <c r="H5" s="2" t="s">
        <v>181</v>
      </c>
      <c r="I5" s="2" t="s">
        <v>145</v>
      </c>
      <c r="K5" s="9" t="s">
        <v>182</v>
      </c>
    </row>
    <row r="6" spans="1:11" x14ac:dyDescent="0.3">
      <c r="A6" s="2" t="s">
        <v>183</v>
      </c>
      <c r="B6" s="22" t="s">
        <v>184</v>
      </c>
      <c r="C6" s="23" t="str">
        <f>IF($A6="","","PBS-"&amp;$B6&amp;"-"&amp;TEXT(COUNTIF('Asset Register'!$B:$B,$A6)+1,"000"))</f>
        <v>PBS-KBD-001</v>
      </c>
      <c r="E6" s="2" t="s">
        <v>185</v>
      </c>
      <c r="F6" s="2" t="s">
        <v>186</v>
      </c>
      <c r="G6" s="2" t="s">
        <v>65</v>
      </c>
      <c r="H6" s="2" t="s">
        <v>187</v>
      </c>
    </row>
    <row r="7" spans="1:11" x14ac:dyDescent="0.3">
      <c r="A7" s="2" t="s">
        <v>70</v>
      </c>
      <c r="B7" s="22" t="s">
        <v>188</v>
      </c>
      <c r="C7" s="23" t="str">
        <f>IF($A7="","","PBS-"&amp;$B7&amp;"-"&amp;TEXT(COUNTIF('Asset Register'!$B:$B,$A7)+1,"000"))</f>
        <v>PBS-MOU-007</v>
      </c>
      <c r="E7" s="2" t="s">
        <v>189</v>
      </c>
      <c r="H7" s="2" t="s">
        <v>190</v>
      </c>
    </row>
    <row r="8" spans="1:11" x14ac:dyDescent="0.3">
      <c r="A8" s="2" t="s">
        <v>191</v>
      </c>
      <c r="B8" s="22" t="s">
        <v>192</v>
      </c>
      <c r="C8" s="23" t="str">
        <f>IF($A8="","","PBS-"&amp;$B8&amp;"-"&amp;TEXT(COUNTIF('Asset Register'!$B:$B,$A8)+1,"000"))</f>
        <v>PBS-CAM-001</v>
      </c>
      <c r="E8" s="2" t="s">
        <v>193</v>
      </c>
      <c r="H8" s="2" t="s">
        <v>194</v>
      </c>
    </row>
    <row r="9" spans="1:11" x14ac:dyDescent="0.3">
      <c r="A9" s="2" t="s">
        <v>195</v>
      </c>
      <c r="B9" s="22" t="s">
        <v>196</v>
      </c>
      <c r="C9" s="23" t="str">
        <f>IF($A9="","","PBS-"&amp;$B9&amp;"-"&amp;TEXT(COUNTIF('Asset Register'!$B:$B,$A9)+1,"000"))</f>
        <v>PBS-DOC-001</v>
      </c>
      <c r="H9" s="2" t="s">
        <v>197</v>
      </c>
    </row>
    <row r="10" spans="1:11" x14ac:dyDescent="0.3">
      <c r="A10" s="2" t="s">
        <v>198</v>
      </c>
      <c r="B10" s="22" t="s">
        <v>199</v>
      </c>
      <c r="C10" s="23" t="str">
        <f>IF($A10="","","PBS-"&amp;$B10&amp;"-"&amp;TEXT(COUNTIF('Asset Register'!$B:$B,$A10)+1,"000"))</f>
        <v>PBS-PRN-001</v>
      </c>
      <c r="H10" s="2" t="s">
        <v>200</v>
      </c>
    </row>
    <row r="11" spans="1:11" x14ac:dyDescent="0.3">
      <c r="A11" s="2" t="s">
        <v>201</v>
      </c>
      <c r="B11" s="22" t="s">
        <v>202</v>
      </c>
      <c r="C11" s="23" t="str">
        <f>IF($A11="","","PBS-"&amp;$B11&amp;"-"&amp;TEXT(COUNTIF('Asset Register'!$B:$B,$A11)+1,"000"))</f>
        <v>PBS-SCN-001</v>
      </c>
      <c r="H11" s="2" t="s">
        <v>203</v>
      </c>
    </row>
    <row r="12" spans="1:11" x14ac:dyDescent="0.3">
      <c r="A12" s="2" t="s">
        <v>204</v>
      </c>
      <c r="B12" s="22" t="s">
        <v>205</v>
      </c>
      <c r="C12" s="23" t="str">
        <f>IF($A12="","","PBS-"&amp;$B12&amp;"-"&amp;TEXT(COUNTIF('Asset Register'!$B:$B,$A12)+1,"000"))</f>
        <v>PBS-RTR-001</v>
      </c>
      <c r="H12" s="2" t="s">
        <v>189</v>
      </c>
    </row>
    <row r="13" spans="1:11" x14ac:dyDescent="0.3">
      <c r="A13" s="2" t="s">
        <v>206</v>
      </c>
      <c r="B13" s="22" t="s">
        <v>207</v>
      </c>
      <c r="C13" s="23" t="str">
        <f>IF($A13="","","PBS-"&amp;$B13&amp;"-"&amp;TEXT(COUNTIF('Asset Register'!$B:$B,$A13)+1,"000"))</f>
        <v>PBS-SWT-001</v>
      </c>
      <c r="H13" s="2" t="s">
        <v>193</v>
      </c>
    </row>
    <row r="14" spans="1:11" x14ac:dyDescent="0.3">
      <c r="A14" s="2" t="s">
        <v>208</v>
      </c>
      <c r="B14" s="22" t="s">
        <v>209</v>
      </c>
      <c r="C14" s="23" t="str">
        <f>IF($A14="","","PBS-"&amp;$B14&amp;"-"&amp;TEXT(COUNTIF('Asset Register'!$B:$B,$A14)+1,"000"))</f>
        <v>PBS-FWL-001</v>
      </c>
    </row>
    <row r="15" spans="1:11" x14ac:dyDescent="0.3">
      <c r="A15" s="2" t="s">
        <v>210</v>
      </c>
      <c r="B15" s="22" t="s">
        <v>211</v>
      </c>
      <c r="C15" s="23" t="str">
        <f>IF($A15="","","PBS-"&amp;$B15&amp;"-"&amp;TEXT(COUNTIF('Asset Register'!$B:$B,$A15)+1,"000"))</f>
        <v>PBS-WAP-001</v>
      </c>
    </row>
    <row r="16" spans="1:11" x14ac:dyDescent="0.3">
      <c r="A16" s="2" t="s">
        <v>212</v>
      </c>
      <c r="B16" s="22" t="s">
        <v>213</v>
      </c>
      <c r="C16" s="23" t="str">
        <f>IF($A16="","","PBS-"&amp;$B16&amp;"-"&amp;TEXT(COUNTIF('Asset Register'!$B:$B,$A16)+1,"000"))</f>
        <v>PBS-SRV-001</v>
      </c>
    </row>
    <row r="17" spans="1:3" x14ac:dyDescent="0.3">
      <c r="A17" s="2" t="s">
        <v>214</v>
      </c>
      <c r="B17" s="22" t="s">
        <v>214</v>
      </c>
      <c r="C17" s="23" t="str">
        <f>IF($A17="","","PBS-"&amp;$B17&amp;"-"&amp;TEXT(COUNTIF('Asset Register'!$B:$B,$A17)+1,"000"))</f>
        <v>PBS-UPS-001</v>
      </c>
    </row>
    <row r="18" spans="1:3" x14ac:dyDescent="0.3">
      <c r="A18" s="2" t="s">
        <v>215</v>
      </c>
      <c r="B18" s="22" t="s">
        <v>216</v>
      </c>
      <c r="C18" s="23" t="str">
        <f>IF($A18="","","PBS-"&amp;$B18&amp;"-"&amp;TEXT(COUNTIF('Asset Register'!$B:$B,$A18)+1,"000"))</f>
        <v>PBS-PHN-001</v>
      </c>
    </row>
    <row r="19" spans="1:3" x14ac:dyDescent="0.3">
      <c r="A19" s="2" t="s">
        <v>217</v>
      </c>
      <c r="B19" s="22" t="s">
        <v>218</v>
      </c>
      <c r="C19" s="23" t="str">
        <f>IF($A19="","","PBS-"&amp;$B19&amp;"-"&amp;TEXT(COUNTIF('Asset Register'!$B:$B,$A19)+1,"000"))</f>
        <v>PBS-MOB-001</v>
      </c>
    </row>
    <row r="20" spans="1:3" x14ac:dyDescent="0.3">
      <c r="A20" s="2" t="s">
        <v>219</v>
      </c>
      <c r="B20" s="22" t="s">
        <v>220</v>
      </c>
      <c r="C20" s="23" t="str">
        <f>IF($A20="","","PBS-"&amp;$B20&amp;"-"&amp;TEXT(COUNTIF('Asset Register'!$B:$B,$A20)+1,"000"))</f>
        <v>PBS-CCT-001</v>
      </c>
    </row>
    <row r="21" spans="1:3" x14ac:dyDescent="0.3">
      <c r="A21" s="2" t="s">
        <v>221</v>
      </c>
      <c r="B21" s="22" t="s">
        <v>222</v>
      </c>
      <c r="C21" s="23" t="str">
        <f>IF($A21="","","PBS-"&amp;$B21&amp;"-"&amp;TEXT(COUNTIF('Asset Register'!$B:$B,$A21)+1,"000"))</f>
        <v>PBS-PRJ-001</v>
      </c>
    </row>
    <row r="22" spans="1:3" x14ac:dyDescent="0.3">
      <c r="A22" s="2" t="s">
        <v>223</v>
      </c>
      <c r="B22" s="22" t="s">
        <v>224</v>
      </c>
      <c r="C22" s="23" t="str">
        <f>IF($A22="","","PBS-"&amp;$B22&amp;"-"&amp;TEXT(COUNTIF('Asset Register'!$B:$B,$A22)+1,"000"))</f>
        <v>PBS-HDD-001</v>
      </c>
    </row>
    <row r="23" spans="1:3" x14ac:dyDescent="0.3">
      <c r="A23" s="2" t="s">
        <v>225</v>
      </c>
      <c r="B23" s="22" t="s">
        <v>226</v>
      </c>
      <c r="C23" s="23" t="str">
        <f>IF($A23="","","PBS-"&amp;$B23&amp;"-"&amp;TEXT(COUNTIF('Asset Register'!$B:$B,$A23)+1,"000"))</f>
        <v>PBS-OTH-001</v>
      </c>
    </row>
    <row r="24" spans="1:3" x14ac:dyDescent="0.3">
      <c r="C24" s="23" t="str">
        <f>IF($A24="","","PBS-"&amp;$B24&amp;"-"&amp;TEXT(COUNTIF('Asset Register'!$B:$B,$A24)+1,"000"))</f>
        <v/>
      </c>
    </row>
    <row r="25" spans="1:3" x14ac:dyDescent="0.3">
      <c r="C25" s="23" t="str">
        <f>IF($A25="","","PBS-"&amp;$B25&amp;"-"&amp;TEXT(COUNTIF('Asset Register'!$B:$B,$A25)+1,"000"))</f>
        <v/>
      </c>
    </row>
    <row r="26" spans="1:3" x14ac:dyDescent="0.3">
      <c r="C26" s="23" t="str">
        <f>IF($A26="","","PBS-"&amp;$B26&amp;"-"&amp;TEXT(COUNTIF('Asset Register'!$B:$B,$A26)+1,"000"))</f>
        <v/>
      </c>
    </row>
    <row r="27" spans="1:3" x14ac:dyDescent="0.3">
      <c r="C27" s="23" t="str">
        <f>IF($A27="","","PBS-"&amp;$B27&amp;"-"&amp;TEXT(COUNTIF('Asset Register'!$B:$B,$A27)+1,"000"))</f>
        <v/>
      </c>
    </row>
    <row r="28" spans="1:3" x14ac:dyDescent="0.3">
      <c r="C28" s="23" t="str">
        <f>IF($A28="","","PBS-"&amp;$B28&amp;"-"&amp;TEXT(COUNTIF('Asset Register'!$B:$B,$A28)+1,"000"))</f>
        <v/>
      </c>
    </row>
    <row r="29" spans="1:3" x14ac:dyDescent="0.3">
      <c r="C29" s="23" t="str">
        <f>IF($A29="","","PBS-"&amp;$B29&amp;"-"&amp;TEXT(COUNTIF('Asset Register'!$B:$B,$A29)+1,"000"))</f>
        <v/>
      </c>
    </row>
    <row r="30" spans="1:3" x14ac:dyDescent="0.3">
      <c r="C30" s="23" t="str">
        <f>IF($A30="","","PBS-"&amp;$B30&amp;"-"&amp;TEXT(COUNTIF('Asset Register'!$B:$B,$A30)+1,"000"))</f>
        <v/>
      </c>
    </row>
    <row r="31" spans="1:3" x14ac:dyDescent="0.3">
      <c r="C31" s="23" t="str">
        <f>IF($A31="","","PBS-"&amp;$B31&amp;"-"&amp;TEXT(COUNTIF('Asset Register'!$B:$B,$A31)+1,"000"))</f>
        <v/>
      </c>
    </row>
    <row r="32" spans="1:3" x14ac:dyDescent="0.3">
      <c r="C32" s="23" t="str">
        <f>IF($A32="","","PBS-"&amp;$B32&amp;"-"&amp;TEXT(COUNTIF('Asset Register'!$B:$B,$A32)+1,"000"))</f>
        <v/>
      </c>
    </row>
    <row r="33" spans="3:3" x14ac:dyDescent="0.3">
      <c r="C33" s="23" t="str">
        <f>IF($A33="","","PBS-"&amp;$B33&amp;"-"&amp;TEXT(COUNTIF('Asset Register'!$B:$B,$A33)+1,"000"))</f>
        <v/>
      </c>
    </row>
    <row r="34" spans="3:3" x14ac:dyDescent="0.3">
      <c r="C34" s="23" t="str">
        <f>IF($A34="","","PBS-"&amp;$B34&amp;"-"&amp;TEXT(COUNTIF('Asset Register'!$B:$B,$A34)+1,"000"))</f>
        <v/>
      </c>
    </row>
    <row r="35" spans="3:3" x14ac:dyDescent="0.3">
      <c r="C35" s="23" t="str">
        <f>IF($A35="","","PBS-"&amp;$B35&amp;"-"&amp;TEXT(COUNTIF('Asset Register'!$B:$B,$A35)+1,"000"))</f>
        <v/>
      </c>
    </row>
    <row r="36" spans="3:3" x14ac:dyDescent="0.3">
      <c r="C36" s="23" t="str">
        <f>IF($A36="","","PBS-"&amp;$B36&amp;"-"&amp;TEXT(COUNTIF('Asset Register'!$B:$B,$A36)+1,"000"))</f>
        <v/>
      </c>
    </row>
    <row r="37" spans="3:3" x14ac:dyDescent="0.3">
      <c r="C37" s="23" t="str">
        <f>IF($A37="","","PBS-"&amp;$B37&amp;"-"&amp;TEXT(COUNTIF('Asset Register'!$B:$B,$A37)+1,"000"))</f>
        <v/>
      </c>
    </row>
    <row r="38" spans="3:3" x14ac:dyDescent="0.3">
      <c r="C38" s="23" t="str">
        <f>IF($A38="","","PBS-"&amp;$B38&amp;"-"&amp;TEXT(COUNTIF('Asset Register'!$B:$B,$A38)+1,"000"))</f>
        <v/>
      </c>
    </row>
    <row r="39" spans="3:3" x14ac:dyDescent="0.3">
      <c r="C39" s="23" t="str">
        <f>IF($A39="","","PBS-"&amp;$B39&amp;"-"&amp;TEXT(COUNTIF('Asset Register'!$B:$B,$A39)+1,"000"))</f>
        <v/>
      </c>
    </row>
    <row r="40" spans="3:3" x14ac:dyDescent="0.3">
      <c r="C40" s="23" t="str">
        <f>IF($A40="","","PBS-"&amp;$B40&amp;"-"&amp;TEXT(COUNTIF('Asset Register'!$B:$B,$A40)+1,"000"))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README</vt:lpstr>
      <vt:lpstr>Dashboard</vt:lpstr>
      <vt:lpstr>Asset Register</vt:lpstr>
      <vt:lpstr>Change Log</vt:lpstr>
      <vt:lpstr>Fault Log</vt:lpstr>
      <vt:lpstr>Consumables</vt:lpstr>
      <vt:lpstr>Lists</vt:lpstr>
      <vt:lpstr>'Asset Register'!Print_Titles</vt:lpstr>
      <vt:lpstr>'Change Log'!Print_Titles</vt:lpstr>
      <vt:lpstr>Consumables!Print_Titles</vt:lpstr>
      <vt:lpstr>'Fault Log'!Print_Titles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sahan samidhu</cp:lastModifiedBy>
  <cp:revision>0</cp:revision>
  <dcterms:created xsi:type="dcterms:W3CDTF">2026-10-05T06:39:13Z</dcterms:created>
  <dcterms:modified xsi:type="dcterms:W3CDTF">2026-10-06T07:11:24Z</dcterms:modified>
  <dc:language>en-US</dc:language>
</cp:coreProperties>
</file>